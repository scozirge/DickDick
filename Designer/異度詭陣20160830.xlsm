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240" windowWidth="21315" windowHeight="9270" tabRatio="812"/>
  </bookViews>
  <sheets>
    <sheet name="戰鬥系統" sheetId="1" r:id="rId1"/>
    <sheet name="探險" sheetId="4" r:id="rId2"/>
    <sheet name="技能" sheetId="8" r:id="rId3"/>
    <sheet name="角色" sheetId="10" r:id="rId4"/>
    <sheet name="遊戲流程" sheetId="11" r:id="rId5"/>
    <sheet name="建築選項" sheetId="17" r:id="rId6"/>
    <sheet name="營收架構" sheetId="12" r:id="rId7"/>
    <sheet name="裝備" sheetId="13" r:id="rId8"/>
    <sheet name="狩獵知識" sheetId="19" r:id="rId9"/>
    <sheet name="創傷" sheetId="20" r:id="rId10"/>
    <sheet name="UI" sheetId="15" r:id="rId11"/>
    <sheet name="原型" sheetId="5" r:id="rId12"/>
    <sheet name="敵人" sheetId="18" r:id="rId13"/>
    <sheet name="評估" sheetId="7" r:id="rId14"/>
  </sheets>
  <calcPr calcId="145621"/>
</workbook>
</file>

<file path=xl/calcChain.xml><?xml version="1.0" encoding="utf-8"?>
<calcChain xmlns="http://schemas.openxmlformats.org/spreadsheetml/2006/main">
  <c r="U5" i="13" l="1"/>
  <c r="V5" i="13"/>
  <c r="S9" i="13"/>
  <c r="T9" i="13"/>
  <c r="U9" i="13"/>
  <c r="V9" i="13"/>
  <c r="W9" i="13"/>
  <c r="S10" i="13"/>
  <c r="T10" i="13"/>
  <c r="U10" i="13"/>
  <c r="V10" i="13"/>
  <c r="W10" i="13"/>
  <c r="S11" i="13"/>
  <c r="T11" i="13"/>
  <c r="U11" i="13"/>
  <c r="V11" i="13"/>
  <c r="W11" i="13"/>
</calcChain>
</file>

<file path=xl/sharedStrings.xml><?xml version="1.0" encoding="utf-8"?>
<sst xmlns="http://schemas.openxmlformats.org/spreadsheetml/2006/main" count="586" uniqueCount="413">
  <si>
    <t>生命</t>
    <phoneticPr fontId="1" type="noConversion"/>
  </si>
  <si>
    <t>防禦</t>
    <phoneticPr fontId="1" type="noConversion"/>
  </si>
  <si>
    <t>攻擊</t>
    <phoneticPr fontId="1" type="noConversion"/>
  </si>
  <si>
    <t>命中</t>
    <phoneticPr fontId="1" type="noConversion"/>
  </si>
  <si>
    <t>閃避</t>
    <phoneticPr fontId="1" type="noConversion"/>
  </si>
  <si>
    <t>格檔</t>
    <phoneticPr fontId="1" type="noConversion"/>
  </si>
  <si>
    <t>傷害</t>
    <phoneticPr fontId="1" type="noConversion"/>
  </si>
  <si>
    <t>連擊懲罰</t>
    <phoneticPr fontId="1" type="noConversion"/>
  </si>
  <si>
    <t>特技</t>
    <phoneticPr fontId="1" type="noConversion"/>
  </si>
  <si>
    <t>穿透</t>
    <phoneticPr fontId="1" type="noConversion"/>
  </si>
  <si>
    <t>生命值</t>
    <phoneticPr fontId="1" type="noConversion"/>
  </si>
  <si>
    <t>架勢</t>
    <phoneticPr fontId="1" type="noConversion"/>
  </si>
  <si>
    <t>防禦</t>
    <phoneticPr fontId="1" type="noConversion"/>
  </si>
  <si>
    <t>攻擊1</t>
    <phoneticPr fontId="1" type="noConversion"/>
  </si>
  <si>
    <t>攻擊2</t>
  </si>
  <si>
    <t>攻擊3</t>
  </si>
  <si>
    <t>攻擊4</t>
  </si>
  <si>
    <t>攻擊5</t>
  </si>
  <si>
    <t>命中</t>
    <phoneticPr fontId="1" type="noConversion"/>
  </si>
  <si>
    <t>武器</t>
    <phoneticPr fontId="1" type="noConversion"/>
  </si>
  <si>
    <t>玩家</t>
    <phoneticPr fontId="1" type="noConversion"/>
  </si>
  <si>
    <t>敵人</t>
    <phoneticPr fontId="1" type="noConversion"/>
  </si>
  <si>
    <t>傷害+20</t>
    <phoneticPr fontId="1" type="noConversion"/>
  </si>
  <si>
    <t>命中-10</t>
    <phoneticPr fontId="1" type="noConversion"/>
  </si>
  <si>
    <t>連擊數(武器技能)</t>
    <phoneticPr fontId="1" type="noConversion"/>
  </si>
  <si>
    <t>戰鬥策略因素</t>
    <phoneticPr fontId="1" type="noConversion"/>
  </si>
  <si>
    <t>技能</t>
    <phoneticPr fontId="1" type="noConversion"/>
  </si>
  <si>
    <t>速度</t>
    <phoneticPr fontId="1" type="noConversion"/>
  </si>
  <si>
    <t>武器名稱</t>
  </si>
  <si>
    <t>命中</t>
  </si>
  <si>
    <t>連擊懲罰</t>
  </si>
  <si>
    <t>防禦者攻擊者抉擇</t>
    <phoneticPr fontId="1" type="noConversion"/>
  </si>
  <si>
    <t>名稱</t>
    <phoneticPr fontId="1" type="noConversion"/>
  </si>
  <si>
    <t>攜帶武器</t>
    <phoneticPr fontId="1" type="noConversion"/>
  </si>
  <si>
    <t>連擊權重1</t>
    <phoneticPr fontId="1" type="noConversion"/>
  </si>
  <si>
    <t>連擊權重2</t>
  </si>
  <si>
    <t>連擊權重3</t>
  </si>
  <si>
    <t>連擊權重4</t>
  </si>
  <si>
    <t>連擊權重5</t>
  </si>
  <si>
    <t>10~15</t>
    <phoneticPr fontId="1" type="noConversion"/>
  </si>
  <si>
    <t>連擊2</t>
  </si>
  <si>
    <t>連擊3</t>
  </si>
  <si>
    <t>連擊4</t>
  </si>
  <si>
    <t>連擊5</t>
  </si>
  <si>
    <t>戰鬥系統</t>
    <phoneticPr fontId="1" type="noConversion"/>
  </si>
  <si>
    <t>巨劍</t>
    <phoneticPr fontId="1" type="noConversion"/>
  </si>
  <si>
    <t>高傷低命中，範圍傷</t>
    <phoneticPr fontId="1" type="noConversion"/>
  </si>
  <si>
    <t>男維京巨人</t>
    <phoneticPr fontId="1" type="noConversion"/>
  </si>
  <si>
    <t>單手</t>
    <phoneticPr fontId="1" type="noConversion"/>
  </si>
  <si>
    <t>巨槌</t>
    <phoneticPr fontId="1" type="noConversion"/>
  </si>
  <si>
    <t>高穿透低命中，減敵防</t>
    <phoneticPr fontId="1" type="noConversion"/>
  </si>
  <si>
    <t>男矮人</t>
    <phoneticPr fontId="1" type="noConversion"/>
  </si>
  <si>
    <t>雙持</t>
    <phoneticPr fontId="1" type="noConversion"/>
  </si>
  <si>
    <t>法杖</t>
    <phoneticPr fontId="1" type="noConversion"/>
  </si>
  <si>
    <t>女放逐聖職</t>
    <phoneticPr fontId="1" type="noConversion"/>
  </si>
  <si>
    <t>雙手</t>
    <phoneticPr fontId="1" type="noConversion"/>
  </si>
  <si>
    <t>男死靈法師</t>
    <phoneticPr fontId="1" type="noConversion"/>
  </si>
  <si>
    <t>傷害</t>
    <phoneticPr fontId="1" type="noConversion"/>
  </si>
  <si>
    <t>類型</t>
    <phoneticPr fontId="1" type="noConversion"/>
  </si>
  <si>
    <t>劍盾</t>
    <phoneticPr fontId="1" type="noConversion"/>
  </si>
  <si>
    <t>15~20</t>
    <phoneticPr fontId="1" type="noConversion"/>
  </si>
  <si>
    <t>80</t>
    <phoneticPr fontId="1" type="noConversion"/>
  </si>
  <si>
    <t>刃器</t>
    <phoneticPr fontId="1" type="noConversion"/>
  </si>
  <si>
    <t>-10</t>
    <phoneticPr fontId="1" type="noConversion"/>
  </si>
  <si>
    <t>4</t>
    <phoneticPr fontId="1" type="noConversion"/>
  </si>
  <si>
    <t>2倍傷害</t>
    <phoneticPr fontId="1" type="noConversion"/>
  </si>
  <si>
    <t>槌盾</t>
    <phoneticPr fontId="1" type="noConversion"/>
  </si>
  <si>
    <t>10~15</t>
    <phoneticPr fontId="1" type="noConversion"/>
  </si>
  <si>
    <t>鈍器</t>
    <phoneticPr fontId="1" type="noConversion"/>
  </si>
  <si>
    <t>目標-15%護甲</t>
    <phoneticPr fontId="1" type="noConversion"/>
  </si>
  <si>
    <t>雙持匕首</t>
    <phoneticPr fontId="1" type="noConversion"/>
  </si>
  <si>
    <t>10~20</t>
    <phoneticPr fontId="1" type="noConversion"/>
  </si>
  <si>
    <t>90</t>
    <phoneticPr fontId="1" type="noConversion"/>
  </si>
  <si>
    <t>-8</t>
    <phoneticPr fontId="1" type="noConversion"/>
  </si>
  <si>
    <t>敵方10%流血傷害3回合</t>
    <phoneticPr fontId="1" type="noConversion"/>
  </si>
  <si>
    <t>20~30</t>
    <phoneticPr fontId="1" type="noConversion"/>
  </si>
  <si>
    <t>魔法</t>
    <phoneticPr fontId="1" type="noConversion"/>
  </si>
  <si>
    <t>3</t>
    <phoneticPr fontId="1" type="noConversion"/>
  </si>
  <si>
    <t>我方角色最少者回復10%血量</t>
    <phoneticPr fontId="1" type="noConversion"/>
  </si>
  <si>
    <t>攻擊所有敵人</t>
    <phoneticPr fontId="1" type="noConversion"/>
  </si>
  <si>
    <t>武器大類</t>
    <phoneticPr fontId="1" type="noConversion"/>
  </si>
  <si>
    <t>特色</t>
    <phoneticPr fontId="1" type="noConversion"/>
  </si>
  <si>
    <t>血量</t>
    <phoneticPr fontId="1" type="noConversion"/>
  </si>
  <si>
    <t>大連擊</t>
    <phoneticPr fontId="1" type="noConversion"/>
  </si>
  <si>
    <t>小連擊</t>
    <phoneticPr fontId="1" type="noConversion"/>
  </si>
  <si>
    <t>武器大傷害</t>
    <phoneticPr fontId="1" type="noConversion"/>
  </si>
  <si>
    <t>武器小傷害</t>
    <phoneticPr fontId="1" type="noConversion"/>
  </si>
  <si>
    <t>劍盾</t>
    <phoneticPr fontId="1" type="noConversion"/>
  </si>
  <si>
    <t>男人類騎士</t>
    <phoneticPr fontId="1" type="noConversion"/>
  </si>
  <si>
    <t>槌盾</t>
    <phoneticPr fontId="1" type="noConversion"/>
  </si>
  <si>
    <t>女聖騎</t>
    <phoneticPr fontId="1" type="noConversion"/>
  </si>
  <si>
    <t>雙持匕首</t>
    <phoneticPr fontId="1" type="noConversion"/>
  </si>
  <si>
    <t>低傷高命中，流血</t>
    <phoneticPr fontId="1" type="noConversion"/>
  </si>
  <si>
    <t>低傷高命中，高爆</t>
    <phoneticPr fontId="1" type="noConversion"/>
  </si>
  <si>
    <t>基礎命中</t>
    <phoneticPr fontId="1" type="noConversion"/>
  </si>
  <si>
    <t>懲罰</t>
    <phoneticPr fontId="1" type="noConversion"/>
  </si>
  <si>
    <t>連擊1</t>
    <phoneticPr fontId="1" type="noConversion"/>
  </si>
  <si>
    <t>主動技能</t>
    <phoneticPr fontId="1" type="noConversion"/>
  </si>
  <si>
    <t>每個角色天生自帶一個主動技能，技能由角色訓練到一定等級後解鎖，後期可透過技能卷軸學習新技能</t>
    <phoneticPr fontId="1" type="noConversion"/>
  </si>
  <si>
    <t>角色只能攜帶一個主動技能，主動技能可於城鎮進行替換</t>
    <phoneticPr fontId="1" type="noConversion"/>
  </si>
  <si>
    <t>被動技能</t>
    <phoneticPr fontId="1" type="noConversion"/>
  </si>
  <si>
    <t>每個角色天生自帶一個被動技能，無法更改，等級到達後自動解鎖</t>
    <phoneticPr fontId="1" type="noConversion"/>
  </si>
  <si>
    <t>會增加</t>
    <phoneticPr fontId="1" type="noConversion"/>
  </si>
  <si>
    <t>生命</t>
    <phoneticPr fontId="1" type="noConversion"/>
  </si>
  <si>
    <t>決定可承受的傷害值，歸零時死亡</t>
    <phoneticPr fontId="1" type="noConversion"/>
  </si>
  <si>
    <t>攻擊</t>
    <phoneticPr fontId="1" type="noConversion"/>
  </si>
  <si>
    <t>決定造成的傷害</t>
    <phoneticPr fontId="1" type="noConversion"/>
  </si>
  <si>
    <t>防禦</t>
    <phoneticPr fontId="1" type="noConversion"/>
  </si>
  <si>
    <t>決定傷害減免</t>
    <phoneticPr fontId="1" type="noConversion"/>
  </si>
  <si>
    <t>會變動</t>
    <phoneticPr fontId="1" type="noConversion"/>
  </si>
  <si>
    <t>武器類型</t>
    <phoneticPr fontId="1" type="noConversion"/>
  </si>
  <si>
    <t>決定可使用的武器類型</t>
    <phoneticPr fontId="1" type="noConversion"/>
  </si>
  <si>
    <t>決定角色專屬的特殊被動技能</t>
    <phoneticPr fontId="1" type="noConversion"/>
  </si>
  <si>
    <t>決定攜帶的主動技能</t>
    <phoneticPr fontId="1" type="noConversion"/>
  </si>
  <si>
    <t>技能屬性</t>
    <phoneticPr fontId="1" type="noConversion"/>
  </si>
  <si>
    <t>技能效果</t>
    <phoneticPr fontId="1" type="noConversion"/>
  </si>
  <si>
    <t>決定技能施放的效果</t>
    <phoneticPr fontId="1" type="noConversion"/>
  </si>
  <si>
    <t>士氣消耗</t>
    <phoneticPr fontId="1" type="noConversion"/>
  </si>
  <si>
    <t>決定技能消耗的士氣量</t>
    <phoneticPr fontId="1" type="noConversion"/>
  </si>
  <si>
    <t>金幣</t>
    <phoneticPr fontId="1" type="noConversion"/>
  </si>
  <si>
    <t>酒館</t>
    <phoneticPr fontId="1" type="noConversion"/>
  </si>
  <si>
    <t>人物總覽</t>
    <phoneticPr fontId="1" type="noConversion"/>
  </si>
  <si>
    <t>人物資訊</t>
    <phoneticPr fontId="1" type="noConversion"/>
  </si>
  <si>
    <t>強化角色</t>
    <phoneticPr fontId="1" type="noConversion"/>
  </si>
  <si>
    <t>使用金幣升級</t>
    <phoneticPr fontId="1" type="noConversion"/>
  </si>
  <si>
    <t>解鎖畫面</t>
    <phoneticPr fontId="1" type="noConversion"/>
  </si>
  <si>
    <t>醫院</t>
    <phoneticPr fontId="1" type="noConversion"/>
  </si>
  <si>
    <t>醫院介面</t>
    <phoneticPr fontId="1" type="noConversion"/>
  </si>
  <si>
    <t>人物總覽</t>
    <phoneticPr fontId="1" type="noConversion"/>
  </si>
  <si>
    <t>治療創傷</t>
    <phoneticPr fontId="1" type="noConversion"/>
  </si>
  <si>
    <t>訓練場</t>
    <phoneticPr fontId="1" type="noConversion"/>
  </si>
  <si>
    <t>技能總覽</t>
    <phoneticPr fontId="1" type="noConversion"/>
  </si>
  <si>
    <t>升級道具</t>
    <phoneticPr fontId="1" type="noConversion"/>
  </si>
  <si>
    <t>鐵匠鋪</t>
    <phoneticPr fontId="1" type="noConversion"/>
  </si>
  <si>
    <t>買/賣介面</t>
    <phoneticPr fontId="1" type="noConversion"/>
  </si>
  <si>
    <t>物品總覽</t>
    <phoneticPr fontId="1" type="noConversion"/>
  </si>
  <si>
    <t>物品資訊</t>
    <phoneticPr fontId="1" type="noConversion"/>
  </si>
  <si>
    <t>公會</t>
    <phoneticPr fontId="1" type="noConversion"/>
  </si>
  <si>
    <t>升級介面</t>
    <phoneticPr fontId="1" type="noConversion"/>
  </si>
  <si>
    <t>確定視窗</t>
    <phoneticPr fontId="1" type="noConversion"/>
  </si>
  <si>
    <t>地城</t>
    <phoneticPr fontId="1" type="noConversion"/>
  </si>
  <si>
    <t>購買介面</t>
    <phoneticPr fontId="1" type="noConversion"/>
  </si>
  <si>
    <t>選層介面</t>
    <phoneticPr fontId="1" type="noConversion"/>
  </si>
  <si>
    <t>醫院</t>
    <phoneticPr fontId="1" type="noConversion"/>
  </si>
  <si>
    <t>鐵匠鋪</t>
    <phoneticPr fontId="1" type="noConversion"/>
  </si>
  <si>
    <t>公會</t>
    <phoneticPr fontId="1" type="noConversion"/>
  </si>
  <si>
    <t>進入準備</t>
    <phoneticPr fontId="1" type="noConversion"/>
  </si>
  <si>
    <t>地城探險</t>
    <phoneticPr fontId="1" type="noConversion"/>
  </si>
  <si>
    <t>通關獲得榮譽</t>
    <phoneticPr fontId="1" type="noConversion"/>
  </si>
  <si>
    <t>死亡時探險過程除金錢外獲得的物品皆會遺失，除非使用救命保險</t>
    <phoneticPr fontId="1" type="noConversion"/>
  </si>
  <si>
    <t>死亡角色會得到創傷，需於醫院耗費時間治療，可用魔晶加速</t>
    <phoneticPr fontId="1" type="noConversion"/>
  </si>
  <si>
    <t>建築名稱</t>
    <phoneticPr fontId="1" type="noConversion"/>
  </si>
  <si>
    <t>功能</t>
    <phoneticPr fontId="1" type="noConversion"/>
  </si>
  <si>
    <t>升級選項</t>
    <phoneticPr fontId="1" type="noConversion"/>
  </si>
  <si>
    <t>花費</t>
    <phoneticPr fontId="1" type="noConversion"/>
  </si>
  <si>
    <t>旅店</t>
    <phoneticPr fontId="1" type="noConversion"/>
  </si>
  <si>
    <t>穩定收入</t>
    <phoneticPr fontId="1" type="noConversion"/>
  </si>
  <si>
    <t>常態性低額度收入</t>
    <phoneticPr fontId="1" type="noConversion"/>
  </si>
  <si>
    <t>轉換消費</t>
    <phoneticPr fontId="1" type="noConversion"/>
  </si>
  <si>
    <t>儲值轉換遊戲貨幣</t>
    <phoneticPr fontId="1" type="noConversion"/>
  </si>
  <si>
    <t>購買金幣或魔晶</t>
    <phoneticPr fontId="1" type="noConversion"/>
  </si>
  <si>
    <t>裝備分為三個部位：武器、護甲、飾品</t>
    <phoneticPr fontId="1" type="noConversion"/>
  </si>
  <si>
    <t>類型</t>
    <phoneticPr fontId="1" type="noConversion"/>
  </si>
  <si>
    <t>防禦數值</t>
    <phoneticPr fontId="1" type="noConversion"/>
  </si>
  <si>
    <t>附加能力</t>
    <phoneticPr fontId="1" type="noConversion"/>
  </si>
  <si>
    <t>護甲名稱</t>
    <phoneticPr fontId="1" type="noConversion"/>
  </si>
  <si>
    <t>刃器</t>
    <phoneticPr fontId="1" type="noConversion"/>
  </si>
  <si>
    <t>鈍器</t>
    <phoneticPr fontId="1" type="noConversion"/>
  </si>
  <si>
    <t>魔法</t>
    <phoneticPr fontId="1" type="noConversion"/>
  </si>
  <si>
    <t>飾品名稱</t>
    <phoneticPr fontId="1" type="noConversion"/>
  </si>
  <si>
    <t>防護類型</t>
    <phoneticPr fontId="1" type="noConversion"/>
  </si>
  <si>
    <t>附加效果</t>
    <phoneticPr fontId="1" type="noConversion"/>
  </si>
  <si>
    <t>特技效果</t>
    <phoneticPr fontId="1" type="noConversion"/>
  </si>
  <si>
    <t>觸發數</t>
    <phoneticPr fontId="1" type="noConversion"/>
  </si>
  <si>
    <t>拳刃</t>
    <phoneticPr fontId="1" type="noConversion"/>
  </si>
  <si>
    <t>90</t>
    <phoneticPr fontId="1" type="noConversion"/>
  </si>
  <si>
    <t>-8</t>
    <phoneticPr fontId="1" type="noConversion"/>
  </si>
  <si>
    <t>鎧甲</t>
    <phoneticPr fontId="1" type="noConversion"/>
  </si>
  <si>
    <t>皮甲</t>
    <phoneticPr fontId="1" type="noConversion"/>
  </si>
  <si>
    <t>布甲</t>
    <phoneticPr fontId="1" type="noConversion"/>
  </si>
  <si>
    <t>探險事件</t>
    <phoneticPr fontId="1" type="noConversion"/>
  </si>
  <si>
    <t>事件敘述</t>
    <phoneticPr fontId="1" type="noConversion"/>
  </si>
  <si>
    <t>選項</t>
    <phoneticPr fontId="1" type="noConversion"/>
  </si>
  <si>
    <t>消耗</t>
    <phoneticPr fontId="1" type="noConversion"/>
  </si>
  <si>
    <t>救助</t>
    <phoneticPr fontId="1" type="noConversion"/>
  </si>
  <si>
    <t>離開</t>
    <phoneticPr fontId="1" type="noConversion"/>
  </si>
  <si>
    <t>1醫療包</t>
    <phoneticPr fontId="1" type="noConversion"/>
  </si>
  <si>
    <t>裝備or金錢</t>
    <phoneticPr fontId="1" type="noConversion"/>
  </si>
  <si>
    <t>無</t>
    <phoneticPr fontId="1" type="noConversion"/>
  </si>
  <si>
    <t>陷阱寶箱</t>
    <phoneticPr fontId="1" type="noConversion"/>
  </si>
  <si>
    <t>封印寶箱</t>
    <phoneticPr fontId="1" type="noConversion"/>
  </si>
  <si>
    <t>1工具包</t>
    <phoneticPr fontId="1" type="noConversion"/>
  </si>
  <si>
    <t>解除陷阱</t>
    <phoneticPr fontId="1" type="noConversion"/>
  </si>
  <si>
    <t>機率</t>
    <phoneticPr fontId="1" type="noConversion"/>
  </si>
  <si>
    <t>結果</t>
    <phoneticPr fontId="1" type="noConversion"/>
  </si>
  <si>
    <t>裝備</t>
    <phoneticPr fontId="1" type="noConversion"/>
  </si>
  <si>
    <t>解除封印</t>
    <phoneticPr fontId="1" type="noConversion"/>
  </si>
  <si>
    <t>成功100%</t>
    <phoneticPr fontId="1" type="noConversion"/>
  </si>
  <si>
    <t>無</t>
    <phoneticPr fontId="1" type="noConversion"/>
  </si>
  <si>
    <t>隨機1~3個角色減少生命值</t>
    <phoneticPr fontId="1" type="noConversion"/>
  </si>
  <si>
    <t>成功75%</t>
    <phoneticPr fontId="1" type="noConversion"/>
  </si>
  <si>
    <t>失敗25%</t>
    <phoneticPr fontId="1" type="noConversion"/>
  </si>
  <si>
    <t>穿越</t>
    <phoneticPr fontId="1" type="noConversion"/>
  </si>
  <si>
    <t>光明祭壇</t>
    <phoneticPr fontId="1" type="noConversion"/>
  </si>
  <si>
    <t>全角色回復30%血量</t>
    <phoneticPr fontId="1" type="noConversion"/>
  </si>
  <si>
    <t>復活祭壇</t>
    <phoneticPr fontId="1" type="noConversion"/>
  </si>
  <si>
    <t>使用</t>
    <phoneticPr fontId="1" type="noConversion"/>
  </si>
  <si>
    <t>魔晶</t>
    <phoneticPr fontId="1" type="noConversion"/>
  </si>
  <si>
    <t>復活並回復死亡角色至20%生命</t>
    <phoneticPr fontId="1" type="noConversion"/>
  </si>
  <si>
    <t>隨機1~3個角色受到物理傷害</t>
    <phoneticPr fontId="1" type="noConversion"/>
  </si>
  <si>
    <t>物理陷阱</t>
    <phoneticPr fontId="1" type="noConversion"/>
  </si>
  <si>
    <t>魔法陷阱</t>
    <phoneticPr fontId="1" type="noConversion"/>
  </si>
  <si>
    <t>隨機1~3個角色受到魔法傷害</t>
    <phoneticPr fontId="1" type="noConversion"/>
  </si>
  <si>
    <t>血之祭壇</t>
    <phoneticPr fontId="1" type="noConversion"/>
  </si>
  <si>
    <t>隨機1~3個角色受到物理傷害</t>
    <phoneticPr fontId="1" type="noConversion"/>
  </si>
  <si>
    <t>高魔傷中命中，範圍傷</t>
    <phoneticPr fontId="1" type="noConversion"/>
  </si>
  <si>
    <t>中魔傷中命中，我方增益</t>
    <phoneticPr fontId="1" type="noConversion"/>
  </si>
  <si>
    <t>低魔傷高命中，敵方減益</t>
    <phoneticPr fontId="1" type="noConversion"/>
  </si>
  <si>
    <t>女法師</t>
  </si>
  <si>
    <t>女法師</t>
    <phoneticPr fontId="1" type="noConversion"/>
  </si>
  <si>
    <t>中穿透中命中，暈眩</t>
    <phoneticPr fontId="1" type="noConversion"/>
  </si>
  <si>
    <t>可用魔晶加速</t>
    <phoneticPr fontId="1" type="noConversion"/>
  </si>
  <si>
    <t>盜賊</t>
  </si>
  <si>
    <t>盜賊</t>
    <phoneticPr fontId="1" type="noConversion"/>
  </si>
  <si>
    <t>刺客</t>
  </si>
  <si>
    <t>刺客</t>
    <phoneticPr fontId="1" type="noConversion"/>
  </si>
  <si>
    <t>造成傷害</t>
  </si>
  <si>
    <t>男人類騎士</t>
  </si>
  <si>
    <t>女聖騎</t>
  </si>
  <si>
    <t>男維京巨人</t>
  </si>
  <si>
    <t>男矮人</t>
  </si>
  <si>
    <t>男死靈法師</t>
  </si>
  <si>
    <t>女放逐聖職</t>
  </si>
  <si>
    <t>重量</t>
    <phoneticPr fontId="1" type="noConversion"/>
  </si>
  <si>
    <t>單手</t>
    <phoneticPr fontId="1" type="noConversion"/>
  </si>
  <si>
    <t>雙持</t>
    <phoneticPr fontId="1" type="noConversion"/>
  </si>
  <si>
    <t>雙手</t>
    <phoneticPr fontId="1" type="noConversion"/>
  </si>
  <si>
    <t>武器類型</t>
    <phoneticPr fontId="1" type="noConversion"/>
  </si>
  <si>
    <t>儀式刃</t>
    <phoneticPr fontId="1" type="noConversion"/>
  </si>
  <si>
    <t>法術</t>
    <phoneticPr fontId="1" type="noConversion"/>
  </si>
  <si>
    <t>受傷冒險者</t>
    <phoneticPr fontId="1" type="noConversion"/>
  </si>
  <si>
    <t>隨機1~3個角色減少5%生命，全角色攻擊增加50%一場戰鬥</t>
    <phoneticPr fontId="1" type="noConversion"/>
  </si>
  <si>
    <t>財寶哥布林</t>
    <phoneticPr fontId="1" type="noConversion"/>
  </si>
  <si>
    <t>追擊</t>
    <phoneticPr fontId="1" type="noConversion"/>
  </si>
  <si>
    <t>無</t>
    <phoneticPr fontId="1" type="noConversion"/>
  </si>
  <si>
    <t>成功50%</t>
    <phoneticPr fontId="1" type="noConversion"/>
  </si>
  <si>
    <t>失敗50%</t>
    <phoneticPr fontId="1" type="noConversion"/>
  </si>
  <si>
    <t>遭遇戰鬥</t>
    <phoneticPr fontId="1" type="noConversion"/>
  </si>
  <si>
    <t>魔獸</t>
    <phoneticPr fontId="1" type="noConversion"/>
  </si>
  <si>
    <t>人類</t>
    <phoneticPr fontId="1" type="noConversion"/>
  </si>
  <si>
    <t>巨像</t>
    <phoneticPr fontId="1" type="noConversion"/>
  </si>
  <si>
    <t>巨像</t>
    <phoneticPr fontId="1" type="noConversion"/>
  </si>
  <si>
    <t>惡靈</t>
    <phoneticPr fontId="1" type="noConversion"/>
  </si>
  <si>
    <t>獲得傷害</t>
    <phoneticPr fontId="1" type="noConversion"/>
  </si>
  <si>
    <t>爆擊率</t>
    <phoneticPr fontId="1" type="noConversion"/>
  </si>
  <si>
    <t>被爆擊率</t>
    <phoneticPr fontId="1" type="noConversion"/>
  </si>
  <si>
    <t>人類</t>
    <phoneticPr fontId="1" type="noConversion"/>
  </si>
  <si>
    <t>增加</t>
    <phoneticPr fontId="1" type="noConversion"/>
  </si>
  <si>
    <t>減少</t>
    <phoneticPr fontId="1" type="noConversion"/>
  </si>
  <si>
    <t>魔獸</t>
    <phoneticPr fontId="1" type="noConversion"/>
  </si>
  <si>
    <t>惡靈</t>
    <phoneticPr fontId="1" type="noConversion"/>
  </si>
  <si>
    <t>巨像</t>
    <phoneticPr fontId="1" type="noConversion"/>
  </si>
  <si>
    <t>角色</t>
    <phoneticPr fontId="1" type="noConversion"/>
  </si>
  <si>
    <t>類別</t>
    <phoneticPr fontId="1" type="noConversion"/>
  </si>
  <si>
    <t>戰鬥開始時根據雙方重量總和較輕的一方優先行動，若總和相同則由玩家開始</t>
    <phoneticPr fontId="1" type="noConversion"/>
  </si>
  <si>
    <t>雙方回合所有角色結束行動後換另一方回合，相互輪替</t>
    <phoneticPr fontId="1" type="noConversion"/>
  </si>
  <si>
    <t>每個角色單回合最多可攻擊5次，五次攻擊完後會自動進入防禦狀態</t>
    <phoneticPr fontId="1" type="noConversion"/>
  </si>
  <si>
    <t>連續攻擊失敗會換到下一我方待機角色</t>
    <phoneticPr fontId="1" type="noConversion"/>
  </si>
  <si>
    <t>連續攻擊的下次攻擊會遭受連擊處罰(依各武器而異)，連擊處罰會疊加</t>
    <phoneticPr fontId="1" type="noConversion"/>
  </si>
  <si>
    <t>武器達成一定連擊數後可觸發特殊技能</t>
    <phoneticPr fontId="1" type="noConversion"/>
  </si>
  <si>
    <t>點擊"防禦"時結束該角色行動進入防禦獲得閃避加權</t>
    <phoneticPr fontId="1" type="noConversion"/>
  </si>
  <si>
    <t>逃跑不論成功失敗均會隨機減少1補血或工具包，若無補給則不扣除</t>
    <phoneticPr fontId="1" type="noConversion"/>
  </si>
  <si>
    <t>逃跑失敗結束該角色行動不進入防禦</t>
    <phoneticPr fontId="1" type="noConversion"/>
  </si>
  <si>
    <t>同陣營回合由角色重量最輕至最重者依序行動</t>
    <phoneticPr fontId="1" type="noConversion"/>
  </si>
  <si>
    <t>攻擊</t>
    <phoneticPr fontId="1" type="noConversion"/>
  </si>
  <si>
    <t>防禦</t>
    <phoneticPr fontId="1" type="noConversion"/>
  </si>
  <si>
    <t>逃跑</t>
    <phoneticPr fontId="1" type="noConversion"/>
  </si>
  <si>
    <t>每個樓層由4個空位組成，一個房間可由1~4個空位組成，空位組成越多則可能出現怪物越強</t>
    <phoneticPr fontId="1" type="noConversion"/>
  </si>
  <si>
    <t>創傷只會影響攜帶的角色，效果持續到被解除</t>
    <phoneticPr fontId="1" type="noConversion"/>
  </si>
  <si>
    <t>爆擊率</t>
    <phoneticPr fontId="1" type="noConversion"/>
  </si>
  <si>
    <t>決定爆擊機率</t>
    <phoneticPr fontId="1" type="noConversion"/>
  </si>
  <si>
    <t>角色副屬性</t>
    <phoneticPr fontId="1" type="noConversion"/>
  </si>
  <si>
    <t>角色主屬性</t>
    <phoneticPr fontId="1" type="noConversion"/>
  </si>
  <si>
    <t>角色升級時自動增加</t>
    <phoneticPr fontId="1" type="noConversion"/>
  </si>
  <si>
    <t>決定額外增加的閃避機率</t>
    <phoneticPr fontId="1" type="noConversion"/>
  </si>
  <si>
    <t>命中率</t>
    <phoneticPr fontId="1" type="noConversion"/>
  </si>
  <si>
    <t>決定額外增加的命中機率</t>
    <phoneticPr fontId="1" type="noConversion"/>
  </si>
  <si>
    <t>閃避率</t>
    <phoneticPr fontId="1" type="noConversion"/>
  </si>
  <si>
    <t>裝備分成：白、綠、藍、紫、金五種品質，白色品質無附加能力</t>
    <phoneticPr fontId="1" type="noConversion"/>
  </si>
  <si>
    <t>狩獵知識根據怪物類別分為4種，每種均有傷害、爆級加成等多種項目，可用知識點數升級選擇項目</t>
    <phoneticPr fontId="1" type="noConversion"/>
  </si>
  <si>
    <t>狩獵知識效果為全角色共享，升級所用的知識點數由角色升及時獲得</t>
    <phoneticPr fontId="1" type="noConversion"/>
  </si>
  <si>
    <t>雇用新角色</t>
    <phoneticPr fontId="1" type="noConversion"/>
  </si>
  <si>
    <t>至旅店雇用新角色</t>
    <phoneticPr fontId="1" type="noConversion"/>
  </si>
  <si>
    <t>旅店</t>
    <phoneticPr fontId="1" type="noConversion"/>
  </si>
  <si>
    <t>每回合角色只可選擇一項動作執行：攻擊、防禦、逃跑</t>
    <phoneticPr fontId="1" type="noConversion"/>
  </si>
  <si>
    <t>逃跑成功機率=敵方重量總和/(我方重量總和+敵方重量總和)</t>
    <phoneticPr fontId="1" type="noConversion"/>
  </si>
  <si>
    <t>逃跑只要有一人成功則結束戰鬥回到探索，若為BOSS戰則無法逃跑</t>
    <phoneticPr fontId="1" type="noConversion"/>
  </si>
  <si>
    <t>每次點擊探險自動走完整個樓層，直到該樓層的終點才停止並可決定離開或繼續</t>
    <phoneticPr fontId="1" type="noConversion"/>
  </si>
  <si>
    <t>角色若於探險中死亡則無法參與戰鬥，持續至回城，死亡的角色會復活但獲得創傷</t>
    <phoneticPr fontId="1" type="noConversion"/>
  </si>
  <si>
    <t>寶藏祕聞</t>
    <phoneticPr fontId="1" type="noConversion"/>
  </si>
  <si>
    <t>購買消息</t>
    <phoneticPr fontId="1" type="noConversion"/>
  </si>
  <si>
    <t>離開</t>
    <phoneticPr fontId="1" type="noConversion"/>
  </si>
  <si>
    <t>金錢</t>
    <phoneticPr fontId="1" type="noConversion"/>
  </si>
  <si>
    <t>尋寶狂熱增加</t>
    <phoneticPr fontId="1" type="noConversion"/>
  </si>
  <si>
    <t>無</t>
    <phoneticPr fontId="1" type="noConversion"/>
  </si>
  <si>
    <t>強盜團</t>
    <phoneticPr fontId="1" type="noConversion"/>
  </si>
  <si>
    <t>付過路費</t>
    <phoneticPr fontId="1" type="noConversion"/>
  </si>
  <si>
    <t>戰鬥</t>
    <phoneticPr fontId="1" type="noConversion"/>
  </si>
  <si>
    <t>進入戰鬥</t>
    <phoneticPr fontId="1" type="noConversion"/>
  </si>
  <si>
    <t>無戰鬥通過</t>
    <phoneticPr fontId="1" type="noConversion"/>
  </si>
  <si>
    <t>受攻擊機率=受擊權重/總受擊權重</t>
    <phoneticPr fontId="1" type="noConversion"/>
  </si>
  <si>
    <t>進入防禦角色受擊權重為60，非防禦狀態角色為30，防禦角色每次受擊後權重-15</t>
    <phoneticPr fontId="1" type="noConversion"/>
  </si>
  <si>
    <t>每成功探索玩一個房間增加一點尋寶狂熱度，達到上限後增加寶物掉落機率狂熱度歸零，掉落機率可疊加</t>
    <phoneticPr fontId="1" type="noConversion"/>
  </si>
  <si>
    <t>腳色探索中血量歸零時不會馬上死亡，每次根據受到的傷害/總血量%去計算死亡機率</t>
    <phoneticPr fontId="1" type="noConversion"/>
  </si>
  <si>
    <t>技能施放需要技能點，技能點由角色執行攻擊動作獲得，當達到可施放量時不再累積，可施放時角色sp條閃爍提示</t>
    <phoneticPr fontId="1" type="noConversion"/>
  </si>
  <si>
    <t>可施放時點擊角色會開啟技能說明視窗，點擊施放使用技能，技能點歸零</t>
    <phoneticPr fontId="1" type="noConversion"/>
  </si>
  <si>
    <t>公會</t>
    <phoneticPr fontId="1" type="noConversion"/>
  </si>
  <si>
    <t>升級醫院</t>
    <phoneticPr fontId="1" type="noConversion"/>
  </si>
  <si>
    <t>使用金幣增加同時治療角色數目</t>
    <phoneticPr fontId="1" type="noConversion"/>
  </si>
  <si>
    <t>購買工具包</t>
    <phoneticPr fontId="1" type="noConversion"/>
  </si>
  <si>
    <t>獲得金錢、裝備、技能卷軸、少量魔晶</t>
    <phoneticPr fontId="1" type="noConversion"/>
  </si>
  <si>
    <t>觀看廣告</t>
    <phoneticPr fontId="1" type="noConversion"/>
  </si>
  <si>
    <t>觀看廣告隨機獲得金幣或魔晶</t>
    <phoneticPr fontId="1" type="noConversion"/>
  </si>
  <si>
    <t>FB張貼創傷報告獲得治療速度加成</t>
    <phoneticPr fontId="1" type="noConversion"/>
  </si>
  <si>
    <t>城鎮強化</t>
    <phoneticPr fontId="1" type="noConversion"/>
  </si>
  <si>
    <t>次元裂縫</t>
    <phoneticPr fontId="1" type="noConversion"/>
  </si>
  <si>
    <t>醫院</t>
    <phoneticPr fontId="1" type="noConversion"/>
  </si>
  <si>
    <t>升級知識</t>
    <phoneticPr fontId="1" type="noConversion"/>
  </si>
  <si>
    <t>旅店</t>
    <phoneticPr fontId="1" type="noConversion"/>
  </si>
  <si>
    <t>更換配置</t>
    <phoneticPr fontId="1" type="noConversion"/>
  </si>
  <si>
    <t>更換角色裝備、組隊、技能</t>
    <phoneticPr fontId="1" type="noConversion"/>
  </si>
  <si>
    <t>購買醫療包</t>
    <phoneticPr fontId="1" type="noConversion"/>
  </si>
  <si>
    <t>基礎5個可使用金幣額外購買，根據進入樓層決定價錢，購買補滿上限</t>
    <phoneticPr fontId="1" type="noConversion"/>
  </si>
  <si>
    <t>增加同時治療欄位</t>
    <phoneticPr fontId="1" type="noConversion"/>
  </si>
  <si>
    <t>1.解鎖新腳色
2.查看或更換角色裝備技能</t>
    <phoneticPr fontId="1" type="noConversion"/>
  </si>
  <si>
    <t>1.使用榮譽提高醫療包品質、攜帶數量上限及開鎖工具上限
2.花費知識點數學習狩獵知識</t>
    <phoneticPr fontId="1" type="noConversion"/>
  </si>
  <si>
    <t>鐵匠鋪</t>
    <phoneticPr fontId="1" type="noConversion"/>
  </si>
  <si>
    <t>買賣裝備</t>
    <phoneticPr fontId="1" type="noConversion"/>
  </si>
  <si>
    <t>流浪商人</t>
    <phoneticPr fontId="1" type="noConversion"/>
  </si>
  <si>
    <t>1.購買裝備，每1小時刷新物品列表，機率出現稀有裝備
2.販賣裝備</t>
    <phoneticPr fontId="1" type="noConversion"/>
  </si>
  <si>
    <t>儲值購買金幣、魔晶</t>
    <phoneticPr fontId="1" type="noConversion"/>
  </si>
  <si>
    <t>觀看廣告獲得金幣、魔晶</t>
    <phoneticPr fontId="1" type="noConversion"/>
  </si>
  <si>
    <t>觀看廣告</t>
    <phoneticPr fontId="1" type="noConversion"/>
  </si>
  <si>
    <t>誘因</t>
    <phoneticPr fontId="1" type="noConversion"/>
  </si>
  <si>
    <t>加速</t>
    <phoneticPr fontId="1" type="noConversion"/>
  </si>
  <si>
    <t>稀有裝備</t>
    <phoneticPr fontId="1" type="noConversion"/>
  </si>
  <si>
    <t>特殊物品</t>
    <phoneticPr fontId="1" type="noConversion"/>
  </si>
  <si>
    <t>使用魔晶加速治療</t>
    <phoneticPr fontId="1" type="noConversion"/>
  </si>
  <si>
    <t>使用魔晶購買稀有裝備</t>
    <phoneticPr fontId="1" type="noConversion"/>
  </si>
  <si>
    <t>使用魔晶換取救命保險</t>
    <phoneticPr fontId="1" type="noConversion"/>
  </si>
  <si>
    <t>升級</t>
    <phoneticPr fontId="1" type="noConversion"/>
  </si>
  <si>
    <t>購買金幣升級</t>
    <phoneticPr fontId="1" type="noConversion"/>
  </si>
  <si>
    <t>合成</t>
    <phoneticPr fontId="1" type="noConversion"/>
  </si>
  <si>
    <t>魔晶</t>
    <phoneticPr fontId="1" type="noConversion"/>
  </si>
  <si>
    <t>合成1個傳送石</t>
    <phoneticPr fontId="1" type="noConversion"/>
  </si>
  <si>
    <t>神祕儀器</t>
    <phoneticPr fontId="1" type="noConversion"/>
  </si>
  <si>
    <t>每次探險需走完5層樓，若未達成目標便離開地城或全員死亡視為探險失敗，只保留探險過程中獲得的金錢，除非使用傳送石</t>
    <phoneticPr fontId="1" type="noConversion"/>
  </si>
  <si>
    <t>重量</t>
    <phoneticPr fontId="1" type="noConversion"/>
  </si>
  <si>
    <t>重量</t>
    <phoneticPr fontId="1" type="noConversion"/>
  </si>
  <si>
    <t>基礎閃避</t>
    <phoneticPr fontId="1" type="noConversion"/>
  </si>
  <si>
    <t>基礎命中</t>
    <phoneticPr fontId="1" type="noConversion"/>
  </si>
  <si>
    <t>武器命中</t>
    <phoneticPr fontId="1" type="noConversion"/>
  </si>
  <si>
    <t>武器閃避</t>
    <phoneticPr fontId="1" type="noConversion"/>
  </si>
  <si>
    <t>防具閃避</t>
    <phoneticPr fontId="1" type="noConversion"/>
  </si>
  <si>
    <t>飾品閃避</t>
    <phoneticPr fontId="1" type="noConversion"/>
  </si>
  <si>
    <t>防禦加權</t>
    <phoneticPr fontId="1" type="noConversion"/>
  </si>
  <si>
    <t>防具命中</t>
    <phoneticPr fontId="1" type="noConversion"/>
  </si>
  <si>
    <t>飾品命中</t>
    <phoneticPr fontId="1" type="noConversion"/>
  </si>
  <si>
    <t>連擊衰減</t>
    <phoneticPr fontId="1" type="noConversion"/>
  </si>
  <si>
    <t>角色自身自帶的命中加值</t>
    <phoneticPr fontId="1" type="noConversion"/>
  </si>
  <si>
    <t>武器的基礎命中</t>
    <phoneticPr fontId="1" type="noConversion"/>
  </si>
  <si>
    <t>防具額外增加的命中加值</t>
    <phoneticPr fontId="1" type="noConversion"/>
  </si>
  <si>
    <t>飾品額外增加的命中加值</t>
    <phoneticPr fontId="1" type="noConversion"/>
  </si>
  <si>
    <t>每次連擊減少的命中衰減</t>
    <phoneticPr fontId="1" type="noConversion"/>
  </si>
  <si>
    <t>重量衰減</t>
    <phoneticPr fontId="1" type="noConversion"/>
  </si>
  <si>
    <t>重量高於目標時減少的命中衰減</t>
    <phoneticPr fontId="1" type="noConversion"/>
  </si>
  <si>
    <t>角色職業</t>
    <phoneticPr fontId="1" type="noConversion"/>
  </si>
  <si>
    <t>武器類型</t>
    <phoneticPr fontId="1" type="noConversion"/>
  </si>
  <si>
    <t>主動技能</t>
    <phoneticPr fontId="1" type="noConversion"/>
  </si>
  <si>
    <t>被動技能</t>
    <phoneticPr fontId="1" type="noConversion"/>
  </si>
  <si>
    <t>使用醫療包時10%機率不消耗</t>
    <phoneticPr fontId="1" type="noConversion"/>
  </si>
  <si>
    <t>使用工具包時10%機率不消耗</t>
    <phoneticPr fontId="1" type="noConversion"/>
  </si>
  <si>
    <t>獲得金幣+5%</t>
    <phoneticPr fontId="1" type="noConversion"/>
  </si>
  <si>
    <t>決定攻擊優先順序/額外閃避加權</t>
    <phoneticPr fontId="1" type="noConversion"/>
  </si>
  <si>
    <t>使用知識點數升級狩獵知識</t>
    <phoneticPr fontId="1" type="noConversion"/>
  </si>
  <si>
    <t>每次死亡復活後角色會獲得一個創傷，同一角色上最多同時帶三個，超過三個後不再增加</t>
    <phoneticPr fontId="1" type="noConversion"/>
  </si>
  <si>
    <t>治療時間根據創傷數量提高，2創傷時間*1.2，3創傷時間*1.4</t>
    <phoneticPr fontId="1" type="noConversion"/>
  </si>
  <si>
    <t>無</t>
    <phoneticPr fontId="1" type="noConversion"/>
  </si>
  <si>
    <t>創傷可使用魔晶直接治療完畢，根據剩餘治療時間計算花費魔晶數量</t>
    <phoneticPr fontId="1" type="noConversion"/>
  </si>
  <si>
    <t>創傷報告</t>
    <phoneticPr fontId="1" type="noConversion"/>
  </si>
  <si>
    <t>1.耗費時間治療創傷，治療期間角色無法使用
2.使用魔晶可直接治療完畢
3.發佈創傷報告獲得金幣或魔晶</t>
    <phoneticPr fontId="1" type="noConversion"/>
  </si>
  <si>
    <t>創傷名稱</t>
    <phoneticPr fontId="1" type="noConversion"/>
  </si>
  <si>
    <t>效果</t>
    <phoneticPr fontId="1" type="noConversion"/>
  </si>
  <si>
    <t>命中-10%</t>
    <phoneticPr fontId="1" type="noConversion"/>
  </si>
  <si>
    <t>斜視</t>
    <phoneticPr fontId="1" type="noConversion"/>
  </si>
  <si>
    <t>長短腳</t>
    <phoneticPr fontId="1" type="noConversion"/>
  </si>
  <si>
    <t>閃避-10%</t>
    <phoneticPr fontId="1" type="noConversion"/>
  </si>
  <si>
    <t>肌肉萎縮</t>
    <phoneticPr fontId="1" type="noConversion"/>
  </si>
  <si>
    <t>攻擊-10%</t>
    <phoneticPr fontId="1" type="noConversion"/>
  </si>
  <si>
    <t>防禦-10%</t>
    <phoneticPr fontId="1" type="noConversion"/>
  </si>
  <si>
    <t>骨質疏鬆</t>
    <phoneticPr fontId="1" type="noConversion"/>
  </si>
  <si>
    <t>使用榮譽增加醫療包增加量、攜帶數；增加工具包攜帶數</t>
    <phoneticPr fontId="1" type="noConversion"/>
  </si>
  <si>
    <t>3</t>
    <phoneticPr fontId="1" type="noConversion"/>
  </si>
  <si>
    <t>燈籠</t>
  </si>
  <si>
    <t>燈籠</t>
    <phoneticPr fontId="1" type="noConversion"/>
  </si>
  <si>
    <t>法杖</t>
  </si>
  <si>
    <t>儀式刃</t>
  </si>
  <si>
    <t>敵方命中下降</t>
    <phoneticPr fontId="1" type="noConversion"/>
  </si>
  <si>
    <t>2</t>
    <phoneticPr fontId="1" type="noConversion"/>
  </si>
  <si>
    <t>爆擊率提高30%</t>
    <phoneticPr fontId="1" type="noConversion"/>
  </si>
  <si>
    <t>20%機率暈眩目標一回合</t>
    <phoneticPr fontId="1" type="noConversion"/>
  </si>
  <si>
    <t>攻擊所有敵人</t>
    <phoneticPr fontId="1" type="noConversion"/>
  </si>
  <si>
    <t>中傷中命中，傷害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</si>
</sst>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4" borderId="0" xfId="0" applyFont="1" applyFill="1" applyBorder="1">
      <alignment vertical="center"/>
    </xf>
    <xf numFmtId="0" fontId="5" fillId="4" borderId="0" xfId="0" applyFont="1" applyFill="1" applyBorder="1" applyAlignment="1">
      <alignment vertical="center"/>
    </xf>
    <xf numFmtId="49" fontId="5" fillId="0" borderId="0" xfId="0" applyNumberFormat="1" applyFont="1" applyFill="1" applyBorder="1">
      <alignment vertical="center"/>
    </xf>
    <xf numFmtId="49" fontId="5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>
      <alignment vertical="center"/>
    </xf>
    <xf numFmtId="49" fontId="5" fillId="3" borderId="1" xfId="0" applyNumberFormat="1" applyFont="1" applyFill="1" applyBorder="1" applyAlignment="1">
      <alignment vertical="center" wrapText="1"/>
    </xf>
    <xf numFmtId="0" fontId="5" fillId="0" borderId="1" xfId="0" applyFont="1" applyBorder="1">
      <alignment vertical="center"/>
    </xf>
    <xf numFmtId="0" fontId="5" fillId="2" borderId="1" xfId="0" applyFont="1" applyFill="1" applyBorder="1">
      <alignment vertical="center"/>
    </xf>
    <xf numFmtId="0" fontId="5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5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8" borderId="1" xfId="0" applyFont="1" applyFill="1" applyBorder="1">
      <alignment vertical="center"/>
    </xf>
    <xf numFmtId="0" fontId="5" fillId="7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5" fillId="7" borderId="1" xfId="0" applyFont="1" applyFill="1" applyBorder="1" applyAlignment="1">
      <alignment vertical="center"/>
    </xf>
    <xf numFmtId="0" fontId="4" fillId="2" borderId="0" xfId="0" applyFont="1" applyFill="1">
      <alignment vertical="center"/>
    </xf>
    <xf numFmtId="0" fontId="6" fillId="0" borderId="0" xfId="0" applyFo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4" borderId="1" xfId="0" applyFont="1" applyFill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230840</xdr:colOff>
      <xdr:row>1</xdr:row>
      <xdr:rowOff>29134</xdr:rowOff>
    </xdr:from>
    <xdr:to>
      <xdr:col>18</xdr:col>
      <xdr:colOff>212911</xdr:colOff>
      <xdr:row>15</xdr:row>
      <xdr:rowOff>125505</xdr:rowOff>
    </xdr:to>
    <xdr:grpSp>
      <xdr:nvGrpSpPr>
        <xdr:cNvPr id="37" name="群組 36"/>
        <xdr:cNvGrpSpPr/>
      </xdr:nvGrpSpPr>
      <xdr:grpSpPr>
        <a:xfrm>
          <a:off x="13319311" y="230840"/>
          <a:ext cx="2716306" cy="2920253"/>
          <a:chOff x="8601635" y="410135"/>
          <a:chExt cx="2716306" cy="2718547"/>
        </a:xfrm>
      </xdr:grpSpPr>
      <xdr:sp macro="" textlink="">
        <xdr:nvSpPr>
          <xdr:cNvPr id="36" name="矩形 35"/>
          <xdr:cNvSpPr/>
        </xdr:nvSpPr>
        <xdr:spPr>
          <a:xfrm rot="5400000">
            <a:off x="10680325" y="2422715"/>
            <a:ext cx="707091" cy="13335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2" name="矩形 21"/>
          <xdr:cNvSpPr/>
        </xdr:nvSpPr>
        <xdr:spPr>
          <a:xfrm>
            <a:off x="8966947" y="2075330"/>
            <a:ext cx="2005853" cy="134471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16" name="矩形 15"/>
          <xdr:cNvSpPr/>
        </xdr:nvSpPr>
        <xdr:spPr>
          <a:xfrm rot="5400000">
            <a:off x="8528797" y="1604685"/>
            <a:ext cx="707091" cy="13335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15" name="矩形 14"/>
          <xdr:cNvSpPr/>
        </xdr:nvSpPr>
        <xdr:spPr>
          <a:xfrm>
            <a:off x="9072283" y="1329018"/>
            <a:ext cx="2005853" cy="134471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7" name="矩形 6"/>
          <xdr:cNvSpPr/>
        </xdr:nvSpPr>
        <xdr:spPr>
          <a:xfrm rot="5400000">
            <a:off x="10684808" y="959225"/>
            <a:ext cx="707091" cy="13335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grpSp>
        <xdr:nvGrpSpPr>
          <xdr:cNvPr id="28" name="群組 27"/>
          <xdr:cNvGrpSpPr/>
        </xdr:nvGrpSpPr>
        <xdr:grpSpPr>
          <a:xfrm>
            <a:off x="8606118" y="410135"/>
            <a:ext cx="2709582" cy="560294"/>
            <a:chOff x="8606118" y="410135"/>
            <a:chExt cx="2709582" cy="560294"/>
          </a:xfrm>
        </xdr:grpSpPr>
        <xdr:sp macro="" textlink="">
          <xdr:nvSpPr>
            <xdr:cNvPr id="6" name="矩形 5"/>
            <xdr:cNvSpPr/>
          </xdr:nvSpPr>
          <xdr:spPr>
            <a:xfrm>
              <a:off x="8964706" y="627529"/>
              <a:ext cx="2005853" cy="134471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grpSp>
          <xdr:nvGrpSpPr>
            <xdr:cNvPr id="9" name="群組 8"/>
            <xdr:cNvGrpSpPr/>
          </xdr:nvGrpSpPr>
          <xdr:grpSpPr>
            <a:xfrm>
              <a:off x="8606118" y="410135"/>
              <a:ext cx="2709582" cy="560294"/>
              <a:chOff x="8606118" y="410135"/>
              <a:chExt cx="2709582" cy="560294"/>
            </a:xfrm>
          </xdr:grpSpPr>
          <xdr:sp macro="" textlink="">
            <xdr:nvSpPr>
              <xdr:cNvPr id="2" name="矩形 1"/>
              <xdr:cNvSpPr/>
            </xdr:nvSpPr>
            <xdr:spPr>
              <a:xfrm>
                <a:off x="8606118" y="410135"/>
                <a:ext cx="560294" cy="560294"/>
              </a:xfrm>
              <a:prstGeom prst="rect">
                <a:avLst/>
              </a:prstGeom>
            </xdr:spPr>
            <xdr:style>
              <a:lnRef idx="1">
                <a:schemeClr val="accent4"/>
              </a:lnRef>
              <a:fillRef idx="2">
                <a:schemeClr val="accent4"/>
              </a:fillRef>
              <a:effectRef idx="1">
                <a:schemeClr val="accent4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3" name="矩形 2"/>
              <xdr:cNvSpPr/>
            </xdr:nvSpPr>
            <xdr:spPr>
              <a:xfrm>
                <a:off x="9322547" y="410135"/>
                <a:ext cx="560294" cy="560294"/>
              </a:xfrm>
              <a:prstGeom prst="rect">
                <a:avLst/>
              </a:prstGeom>
            </xdr:spPr>
            <xdr:style>
              <a:lnRef idx="1">
                <a:schemeClr val="accent4"/>
              </a:lnRef>
              <a:fillRef idx="2">
                <a:schemeClr val="accent4"/>
              </a:fillRef>
              <a:effectRef idx="1">
                <a:schemeClr val="accent4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" name="矩形 3"/>
              <xdr:cNvSpPr/>
            </xdr:nvSpPr>
            <xdr:spPr>
              <a:xfrm>
                <a:off x="10038976" y="410135"/>
                <a:ext cx="560294" cy="560294"/>
              </a:xfrm>
              <a:prstGeom prst="rect">
                <a:avLst/>
              </a:prstGeom>
            </xdr:spPr>
            <xdr:style>
              <a:lnRef idx="1">
                <a:schemeClr val="accent4"/>
              </a:lnRef>
              <a:fillRef idx="2">
                <a:schemeClr val="accent4"/>
              </a:fillRef>
              <a:effectRef idx="1">
                <a:schemeClr val="accent4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5" name="矩形 4"/>
              <xdr:cNvSpPr/>
            </xdr:nvSpPr>
            <xdr:spPr>
              <a:xfrm>
                <a:off x="10755406" y="410135"/>
                <a:ext cx="560294" cy="560294"/>
              </a:xfrm>
              <a:prstGeom prst="rect">
                <a:avLst/>
              </a:prstGeom>
            </xdr:spPr>
            <xdr:style>
              <a:lnRef idx="1">
                <a:schemeClr val="accent4"/>
              </a:lnRef>
              <a:fillRef idx="2">
                <a:schemeClr val="accent4"/>
              </a:fillRef>
              <a:effectRef idx="1">
                <a:schemeClr val="accent4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</xdr:grpSp>
      </xdr:grpSp>
      <xdr:grpSp>
        <xdr:nvGrpSpPr>
          <xdr:cNvPr id="10" name="群組 9"/>
          <xdr:cNvGrpSpPr/>
        </xdr:nvGrpSpPr>
        <xdr:grpSpPr>
          <a:xfrm>
            <a:off x="8601635" y="1122830"/>
            <a:ext cx="2709582" cy="560294"/>
            <a:chOff x="8606118" y="410135"/>
            <a:chExt cx="2709582" cy="560294"/>
          </a:xfrm>
        </xdr:grpSpPr>
        <xdr:sp macro="" textlink="">
          <xdr:nvSpPr>
            <xdr:cNvPr id="11" name="矩形 10"/>
            <xdr:cNvSpPr/>
          </xdr:nvSpPr>
          <xdr:spPr>
            <a:xfrm>
              <a:off x="8606118" y="410135"/>
              <a:ext cx="560294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13" name="矩形 12"/>
            <xdr:cNvSpPr/>
          </xdr:nvSpPr>
          <xdr:spPr>
            <a:xfrm>
              <a:off x="9327777" y="410135"/>
              <a:ext cx="1271493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14" name="矩形 13"/>
            <xdr:cNvSpPr/>
          </xdr:nvSpPr>
          <xdr:spPr>
            <a:xfrm>
              <a:off x="10755406" y="410135"/>
              <a:ext cx="560294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  <xdr:grpSp>
        <xdr:nvGrpSpPr>
          <xdr:cNvPr id="17" name="群組 16"/>
          <xdr:cNvGrpSpPr/>
        </xdr:nvGrpSpPr>
        <xdr:grpSpPr>
          <a:xfrm>
            <a:off x="8608359" y="1857938"/>
            <a:ext cx="2709582" cy="560294"/>
            <a:chOff x="8606118" y="410135"/>
            <a:chExt cx="2709582" cy="560294"/>
          </a:xfrm>
        </xdr:grpSpPr>
        <xdr:sp macro="" textlink="">
          <xdr:nvSpPr>
            <xdr:cNvPr id="18" name="矩形 17"/>
            <xdr:cNvSpPr/>
          </xdr:nvSpPr>
          <xdr:spPr>
            <a:xfrm>
              <a:off x="8606118" y="410135"/>
              <a:ext cx="1992406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21" name="矩形 20"/>
            <xdr:cNvSpPr/>
          </xdr:nvSpPr>
          <xdr:spPr>
            <a:xfrm>
              <a:off x="10755406" y="410135"/>
              <a:ext cx="560294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  <xdr:grpSp>
        <xdr:nvGrpSpPr>
          <xdr:cNvPr id="29" name="群組 28"/>
          <xdr:cNvGrpSpPr/>
        </xdr:nvGrpSpPr>
        <xdr:grpSpPr>
          <a:xfrm>
            <a:off x="8606118" y="2568388"/>
            <a:ext cx="2711823" cy="560294"/>
            <a:chOff x="8610601" y="410135"/>
            <a:chExt cx="2711823" cy="560294"/>
          </a:xfrm>
        </xdr:grpSpPr>
        <xdr:sp macro="" textlink="">
          <xdr:nvSpPr>
            <xdr:cNvPr id="30" name="矩形 29"/>
            <xdr:cNvSpPr/>
          </xdr:nvSpPr>
          <xdr:spPr>
            <a:xfrm>
              <a:off x="8964706" y="627529"/>
              <a:ext cx="2005853" cy="134471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4" name="矩形 3"/>
            <xdr:cNvSpPr/>
          </xdr:nvSpPr>
          <xdr:spPr>
            <a:xfrm>
              <a:off x="8610601" y="410135"/>
              <a:ext cx="2711823" cy="560294"/>
            </a:xfrm>
            <a:prstGeom prst="rect">
              <a:avLst/>
            </a:prstGeom>
          </xdr:spPr>
          <xdr:style>
            <a:lnRef idx="1">
              <a:schemeClr val="accent4"/>
            </a:lnRef>
            <a:fillRef idx="2">
              <a:schemeClr val="accent4"/>
            </a:fillRef>
            <a:effectRef idx="1">
              <a:schemeClr val="accent4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197224</xdr:colOff>
      <xdr:row>16</xdr:row>
      <xdr:rowOff>129990</xdr:rowOff>
    </xdr:from>
    <xdr:to>
      <xdr:col>12</xdr:col>
      <xdr:colOff>448236</xdr:colOff>
      <xdr:row>25</xdr:row>
      <xdr:rowOff>35859</xdr:rowOff>
    </xdr:to>
    <xdr:grpSp>
      <xdr:nvGrpSpPr>
        <xdr:cNvPr id="17" name="群組 16"/>
        <xdr:cNvGrpSpPr/>
      </xdr:nvGrpSpPr>
      <xdr:grpSpPr>
        <a:xfrm>
          <a:off x="8478371" y="3357284"/>
          <a:ext cx="1618130" cy="1721222"/>
          <a:chOff x="5620871" y="3133166"/>
          <a:chExt cx="1618130" cy="1721222"/>
        </a:xfrm>
      </xdr:grpSpPr>
      <xdr:sp macro="" textlink="">
        <xdr:nvSpPr>
          <xdr:cNvPr id="4" name="矩形 3"/>
          <xdr:cNvSpPr/>
        </xdr:nvSpPr>
        <xdr:spPr>
          <a:xfrm>
            <a:off x="5625353" y="3137647"/>
            <a:ext cx="425823" cy="425823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altLang="zh-TW" sz="1100"/>
              <a:t>ICON</a:t>
            </a:r>
            <a:endParaRPr lang="zh-TW" altLang="en-US" sz="1100"/>
          </a:p>
        </xdr:txBody>
      </xdr:sp>
      <xdr:sp macro="" textlink="">
        <xdr:nvSpPr>
          <xdr:cNvPr id="5" name="矩形 4"/>
          <xdr:cNvSpPr/>
        </xdr:nvSpPr>
        <xdr:spPr>
          <a:xfrm>
            <a:off x="6046694" y="3133166"/>
            <a:ext cx="1169894" cy="2061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名稱</a:t>
            </a:r>
          </a:p>
        </xdr:txBody>
      </xdr:sp>
      <xdr:sp macro="" textlink="">
        <xdr:nvSpPr>
          <xdr:cNvPr id="6" name="矩形 5"/>
          <xdr:cNvSpPr/>
        </xdr:nvSpPr>
        <xdr:spPr>
          <a:xfrm>
            <a:off x="6277537" y="3352801"/>
            <a:ext cx="950257" cy="18825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l"/>
            <a:r>
              <a:rPr lang="en-US" altLang="zh-TW" sz="1100"/>
              <a:t>10-20</a:t>
            </a:r>
            <a:endParaRPr lang="zh-TW" altLang="en-US" sz="1100"/>
          </a:p>
        </xdr:txBody>
      </xdr:sp>
      <xdr:sp macro="" textlink="">
        <xdr:nvSpPr>
          <xdr:cNvPr id="8" name="矩形 7"/>
          <xdr:cNvSpPr/>
        </xdr:nvSpPr>
        <xdr:spPr>
          <a:xfrm>
            <a:off x="5869643" y="3550022"/>
            <a:ext cx="932327" cy="215154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l"/>
            <a:r>
              <a:rPr lang="en-US" altLang="zh-TW" sz="1100"/>
              <a:t>90%-10%</a:t>
            </a:r>
            <a:endParaRPr lang="zh-TW" altLang="en-US" sz="1100"/>
          </a:p>
        </xdr:txBody>
      </xdr:sp>
      <xdr:sp macro="" textlink="">
        <xdr:nvSpPr>
          <xdr:cNvPr id="10" name="矩形 9"/>
          <xdr:cNvSpPr/>
        </xdr:nvSpPr>
        <xdr:spPr>
          <a:xfrm>
            <a:off x="5620871" y="4421842"/>
            <a:ext cx="425823" cy="425823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altLang="zh-TW" sz="1100"/>
              <a:t>HIT</a:t>
            </a:r>
            <a:br>
              <a:rPr lang="en-US" altLang="zh-TW" sz="1100"/>
            </a:br>
            <a:r>
              <a:rPr lang="en-US" altLang="zh-TW" sz="1100"/>
              <a:t>6</a:t>
            </a:r>
            <a:endParaRPr lang="zh-TW" altLang="en-US" sz="1100"/>
          </a:p>
        </xdr:txBody>
      </xdr:sp>
      <xdr:sp macro="" textlink="">
        <xdr:nvSpPr>
          <xdr:cNvPr id="11" name="矩形 10"/>
          <xdr:cNvSpPr/>
        </xdr:nvSpPr>
        <xdr:spPr>
          <a:xfrm>
            <a:off x="6042212" y="4428565"/>
            <a:ext cx="1185582" cy="425823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特技說明</a:t>
            </a:r>
          </a:p>
        </xdr:txBody>
      </xdr:sp>
      <xdr:sp macro="" textlink="">
        <xdr:nvSpPr>
          <xdr:cNvPr id="12" name="矩形 11"/>
          <xdr:cNvSpPr/>
        </xdr:nvSpPr>
        <xdr:spPr>
          <a:xfrm>
            <a:off x="5623112" y="3776382"/>
            <a:ext cx="1604682" cy="647699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附加能力</a:t>
            </a:r>
          </a:p>
        </xdr:txBody>
      </xdr:sp>
      <xdr:sp macro="" textlink="">
        <xdr:nvSpPr>
          <xdr:cNvPr id="14" name="矩形 13"/>
          <xdr:cNvSpPr/>
        </xdr:nvSpPr>
        <xdr:spPr>
          <a:xfrm>
            <a:off x="6048936" y="3337113"/>
            <a:ext cx="226358" cy="20394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鈍</a:t>
            </a:r>
          </a:p>
        </xdr:txBody>
      </xdr:sp>
      <xdr:sp macro="" textlink="">
        <xdr:nvSpPr>
          <xdr:cNvPr id="13" name="矩形 12"/>
          <xdr:cNvSpPr/>
        </xdr:nvSpPr>
        <xdr:spPr>
          <a:xfrm>
            <a:off x="5629836" y="3556749"/>
            <a:ext cx="226358" cy="20394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準</a:t>
            </a:r>
          </a:p>
        </xdr:txBody>
      </xdr:sp>
      <xdr:sp macro="" textlink="">
        <xdr:nvSpPr>
          <xdr:cNvPr id="15" name="矩形 14"/>
          <xdr:cNvSpPr/>
        </xdr:nvSpPr>
        <xdr:spPr>
          <a:xfrm>
            <a:off x="6533030" y="3552266"/>
            <a:ext cx="226358" cy="20394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重</a:t>
            </a:r>
          </a:p>
        </xdr:txBody>
      </xdr:sp>
      <xdr:sp macro="" textlink="">
        <xdr:nvSpPr>
          <xdr:cNvPr id="16" name="矩形 15"/>
          <xdr:cNvSpPr/>
        </xdr:nvSpPr>
        <xdr:spPr>
          <a:xfrm>
            <a:off x="6743703" y="3550024"/>
            <a:ext cx="495298" cy="215152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rtlCol="0" anchor="ctr"/>
          <a:lstStyle/>
          <a:p>
            <a:pPr algn="l"/>
            <a:r>
              <a:rPr lang="en-US" altLang="zh-TW" sz="1100"/>
              <a:t>10kg</a:t>
            </a:r>
            <a:endParaRPr lang="zh-TW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19050</xdr:rowOff>
    </xdr:from>
    <xdr:to>
      <xdr:col>19</xdr:col>
      <xdr:colOff>504825</xdr:colOff>
      <xdr:row>20</xdr:row>
      <xdr:rowOff>123825</xdr:rowOff>
    </xdr:to>
    <xdr:grpSp>
      <xdr:nvGrpSpPr>
        <xdr:cNvPr id="37" name="群組 36"/>
        <xdr:cNvGrpSpPr/>
      </xdr:nvGrpSpPr>
      <xdr:grpSpPr>
        <a:xfrm>
          <a:off x="11049000" y="228600"/>
          <a:ext cx="2486025" cy="4086225"/>
          <a:chOff x="6438900" y="209550"/>
          <a:chExt cx="2486025" cy="4086225"/>
        </a:xfrm>
      </xdr:grpSpPr>
      <xdr:sp macro="" textlink="">
        <xdr:nvSpPr>
          <xdr:cNvPr id="3" name="矩形 2"/>
          <xdr:cNvSpPr/>
        </xdr:nvSpPr>
        <xdr:spPr>
          <a:xfrm>
            <a:off x="6438900" y="209550"/>
            <a:ext cx="2486025" cy="4086225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6496050" y="25717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8" name="矩形 27"/>
          <xdr:cNvSpPr/>
        </xdr:nvSpPr>
        <xdr:spPr>
          <a:xfrm>
            <a:off x="6496050" y="168592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0" name="向下箭號 29"/>
          <xdr:cNvSpPr/>
        </xdr:nvSpPr>
        <xdr:spPr>
          <a:xfrm>
            <a:off x="7524750" y="1571625"/>
            <a:ext cx="323850" cy="238125"/>
          </a:xfrm>
          <a:prstGeom prst="downArrow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1" name="圓角矩形 20"/>
          <xdr:cNvSpPr/>
        </xdr:nvSpPr>
        <xdr:spPr>
          <a:xfrm>
            <a:off x="7277100" y="3114674"/>
            <a:ext cx="800100" cy="857251"/>
          </a:xfrm>
          <a:prstGeom prst="round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攻擊</a:t>
            </a:r>
          </a:p>
        </xdr:txBody>
      </xdr:sp>
      <xdr:sp macro="" textlink="">
        <xdr:nvSpPr>
          <xdr:cNvPr id="26" name="圓角矩形 25"/>
          <xdr:cNvSpPr/>
        </xdr:nvSpPr>
        <xdr:spPr>
          <a:xfrm>
            <a:off x="8105775" y="3114674"/>
            <a:ext cx="800100" cy="857251"/>
          </a:xfrm>
          <a:prstGeom prst="round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防禦</a:t>
            </a:r>
          </a:p>
        </xdr:txBody>
      </xdr:sp>
      <xdr:sp macro="" textlink="">
        <xdr:nvSpPr>
          <xdr:cNvPr id="27" name="圓角矩形 26"/>
          <xdr:cNvSpPr/>
        </xdr:nvSpPr>
        <xdr:spPr>
          <a:xfrm>
            <a:off x="6457950" y="3114674"/>
            <a:ext cx="800100" cy="857251"/>
          </a:xfrm>
          <a:prstGeom prst="roundRect">
            <a:avLst/>
          </a:prstGeom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逃跑</a:t>
            </a:r>
          </a:p>
        </xdr:txBody>
      </xdr:sp>
      <xdr:sp macro="" textlink="">
        <xdr:nvSpPr>
          <xdr:cNvPr id="38" name="矩形 37"/>
          <xdr:cNvSpPr/>
        </xdr:nvSpPr>
        <xdr:spPr>
          <a:xfrm>
            <a:off x="6448425" y="3971925"/>
            <a:ext cx="2466975" cy="3048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廣告</a:t>
            </a:r>
          </a:p>
        </xdr:txBody>
      </xdr:sp>
      <xdr:pic>
        <xdr:nvPicPr>
          <xdr:cNvPr id="39" name="圖片 38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6457950" y="371475"/>
            <a:ext cx="1601485" cy="1046105"/>
          </a:xfrm>
          <a:prstGeom prst="rect">
            <a:avLst/>
          </a:prstGeom>
        </xdr:spPr>
      </xdr:pic>
      <xdr:grpSp>
        <xdr:nvGrpSpPr>
          <xdr:cNvPr id="40" name="群組 39"/>
          <xdr:cNvGrpSpPr/>
        </xdr:nvGrpSpPr>
        <xdr:grpSpPr>
          <a:xfrm>
            <a:off x="6591300" y="1438275"/>
            <a:ext cx="1314450" cy="93344"/>
            <a:chOff x="6591300" y="1438275"/>
            <a:chExt cx="1314450" cy="93344"/>
          </a:xfrm>
        </xdr:grpSpPr>
        <xdr:sp macro="" textlink="">
          <xdr:nvSpPr>
            <xdr:cNvPr id="29" name="矩形 28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1" name="矩形 30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2" name="矩形 31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2" name="矩形 41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3" name="矩形 42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4" name="矩形 43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  <xdr:pic>
        <xdr:nvPicPr>
          <xdr:cNvPr id="55" name="圖片 54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 flipH="1">
            <a:off x="7248526" y="1847850"/>
            <a:ext cx="1600199" cy="1046105"/>
          </a:xfrm>
          <a:prstGeom prst="rect">
            <a:avLst/>
          </a:prstGeom>
        </xdr:spPr>
      </xdr:pic>
      <xdr:grpSp>
        <xdr:nvGrpSpPr>
          <xdr:cNvPr id="56" name="群組 55"/>
          <xdr:cNvGrpSpPr/>
        </xdr:nvGrpSpPr>
        <xdr:grpSpPr>
          <a:xfrm>
            <a:off x="7419975" y="2914650"/>
            <a:ext cx="1314450" cy="93344"/>
            <a:chOff x="6591300" y="1438275"/>
            <a:chExt cx="1314450" cy="93344"/>
          </a:xfrm>
        </xdr:grpSpPr>
        <xdr:sp macro="" textlink="">
          <xdr:nvSpPr>
            <xdr:cNvPr id="57" name="矩形 56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8" name="矩形 57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9" name="矩形 58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0" name="矩形 59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1" name="矩形 60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2" name="矩形 61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</xdr:grpSp>
    <xdr:clientData/>
  </xdr:twoCellAnchor>
  <xdr:twoCellAnchor>
    <xdr:from>
      <xdr:col>5</xdr:col>
      <xdr:colOff>171450</xdr:colOff>
      <xdr:row>1</xdr:row>
      <xdr:rowOff>0</xdr:rowOff>
    </xdr:from>
    <xdr:to>
      <xdr:col>8</xdr:col>
      <xdr:colOff>600075</xdr:colOff>
      <xdr:row>20</xdr:row>
      <xdr:rowOff>104775</xdr:rowOff>
    </xdr:to>
    <xdr:sp macro="" textlink="">
      <xdr:nvSpPr>
        <xdr:cNvPr id="34" name="矩形 33"/>
        <xdr:cNvSpPr/>
      </xdr:nvSpPr>
      <xdr:spPr>
        <a:xfrm>
          <a:off x="3600450" y="209550"/>
          <a:ext cx="2486025" cy="40862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5</xdr:col>
      <xdr:colOff>228600</xdr:colOff>
      <xdr:row>1</xdr:row>
      <xdr:rowOff>47625</xdr:rowOff>
    </xdr:from>
    <xdr:to>
      <xdr:col>8</xdr:col>
      <xdr:colOff>552450</xdr:colOff>
      <xdr:row>8</xdr:row>
      <xdr:rowOff>9525</xdr:rowOff>
    </xdr:to>
    <xdr:sp macro="" textlink="">
      <xdr:nvSpPr>
        <xdr:cNvPr id="35" name="矩形 34"/>
        <xdr:cNvSpPr/>
      </xdr:nvSpPr>
      <xdr:spPr>
        <a:xfrm>
          <a:off x="3657600" y="257175"/>
          <a:ext cx="2381250" cy="1428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5</xdr:col>
      <xdr:colOff>228600</xdr:colOff>
      <xdr:row>8</xdr:row>
      <xdr:rowOff>9525</xdr:rowOff>
    </xdr:from>
    <xdr:to>
      <xdr:col>8</xdr:col>
      <xdr:colOff>552450</xdr:colOff>
      <xdr:row>14</xdr:row>
      <xdr:rowOff>180975</xdr:rowOff>
    </xdr:to>
    <xdr:sp macro="" textlink="">
      <xdr:nvSpPr>
        <xdr:cNvPr id="36" name="矩形 35"/>
        <xdr:cNvSpPr/>
      </xdr:nvSpPr>
      <xdr:spPr>
        <a:xfrm>
          <a:off x="3657600" y="1685925"/>
          <a:ext cx="2381250" cy="1428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5</xdr:col>
      <xdr:colOff>180975</xdr:colOff>
      <xdr:row>18</xdr:row>
      <xdr:rowOff>200025</xdr:rowOff>
    </xdr:from>
    <xdr:to>
      <xdr:col>8</xdr:col>
      <xdr:colOff>590550</xdr:colOff>
      <xdr:row>20</xdr:row>
      <xdr:rowOff>85725</xdr:rowOff>
    </xdr:to>
    <xdr:sp macro="" textlink="">
      <xdr:nvSpPr>
        <xdr:cNvPr id="48" name="矩形 47"/>
        <xdr:cNvSpPr/>
      </xdr:nvSpPr>
      <xdr:spPr>
        <a:xfrm>
          <a:off x="3609975" y="3971925"/>
          <a:ext cx="2466975" cy="3048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TW" altLang="en-US" sz="1100"/>
            <a:t>廣告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</xdr:row>
          <xdr:rowOff>104775</xdr:rowOff>
        </xdr:from>
        <xdr:to>
          <xdr:col>6</xdr:col>
          <xdr:colOff>590550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tabSelected="1" zoomScale="85" zoomScaleNormal="85" workbookViewId="0">
      <selection activeCell="I14" sqref="I14"/>
    </sheetView>
  </sheetViews>
  <sheetFormatPr defaultRowHeight="15.75" x14ac:dyDescent="0.25"/>
  <cols>
    <col min="1" max="16384" width="9" style="5"/>
  </cols>
  <sheetData>
    <row r="1" spans="1:1" ht="16.5" x14ac:dyDescent="0.25">
      <c r="A1" s="33" t="s">
        <v>44</v>
      </c>
    </row>
    <row r="2" spans="1:1" x14ac:dyDescent="0.25">
      <c r="A2" s="5" t="s">
        <v>264</v>
      </c>
    </row>
    <row r="3" spans="1:1" x14ac:dyDescent="0.25">
      <c r="A3" s="5" t="s">
        <v>273</v>
      </c>
    </row>
    <row r="4" spans="1:1" x14ac:dyDescent="0.25">
      <c r="A4" s="5" t="s">
        <v>265</v>
      </c>
    </row>
    <row r="5" spans="1:1" x14ac:dyDescent="0.25">
      <c r="A5" s="5" t="s">
        <v>294</v>
      </c>
    </row>
    <row r="7" spans="1:1" ht="16.5" x14ac:dyDescent="0.25">
      <c r="A7" s="33" t="s">
        <v>274</v>
      </c>
    </row>
    <row r="8" spans="1:1" x14ac:dyDescent="0.25">
      <c r="A8" s="5" t="s">
        <v>266</v>
      </c>
    </row>
    <row r="9" spans="1:1" x14ac:dyDescent="0.25">
      <c r="A9" s="5" t="s">
        <v>268</v>
      </c>
    </row>
    <row r="10" spans="1:1" x14ac:dyDescent="0.25">
      <c r="A10" s="5" t="s">
        <v>267</v>
      </c>
    </row>
    <row r="11" spans="1:1" x14ac:dyDescent="0.25">
      <c r="A11" s="5" t="s">
        <v>269</v>
      </c>
    </row>
    <row r="13" spans="1:1" ht="16.5" x14ac:dyDescent="0.25">
      <c r="A13" s="33" t="s">
        <v>275</v>
      </c>
    </row>
    <row r="14" spans="1:1" x14ac:dyDescent="0.25">
      <c r="A14" s="5" t="s">
        <v>270</v>
      </c>
    </row>
    <row r="15" spans="1:1" x14ac:dyDescent="0.25">
      <c r="A15" s="5" t="s">
        <v>310</v>
      </c>
    </row>
    <row r="16" spans="1:1" x14ac:dyDescent="0.25">
      <c r="A16" s="5" t="s">
        <v>311</v>
      </c>
    </row>
    <row r="18" spans="1:1" ht="16.5" x14ac:dyDescent="0.25">
      <c r="A18" s="33" t="s">
        <v>276</v>
      </c>
    </row>
    <row r="19" spans="1:1" x14ac:dyDescent="0.25">
      <c r="A19" s="5" t="s">
        <v>271</v>
      </c>
    </row>
    <row r="20" spans="1:1" x14ac:dyDescent="0.25">
      <c r="A20" s="5" t="s">
        <v>296</v>
      </c>
    </row>
    <row r="21" spans="1:1" x14ac:dyDescent="0.25">
      <c r="A21" s="5" t="s">
        <v>295</v>
      </c>
    </row>
    <row r="22" spans="1:1" x14ac:dyDescent="0.25">
      <c r="A22" s="5" t="s">
        <v>272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zoomScale="85" zoomScaleNormal="85" workbookViewId="0">
      <selection activeCell="K20" sqref="K20"/>
    </sheetView>
  </sheetViews>
  <sheetFormatPr defaultRowHeight="15.75" x14ac:dyDescent="0.25"/>
  <cols>
    <col min="1" max="1" width="11.75" style="31" customWidth="1"/>
    <col min="2" max="4" width="9" style="31"/>
    <col min="5" max="5" width="10.875" style="31" customWidth="1"/>
    <col min="6" max="6" width="50.5" style="17" customWidth="1"/>
    <col min="7" max="16384" width="9" style="5"/>
  </cols>
  <sheetData>
    <row r="1" spans="1:6" x14ac:dyDescent="0.25">
      <c r="A1" s="31" t="s">
        <v>277</v>
      </c>
    </row>
    <row r="2" spans="1:6" x14ac:dyDescent="0.25">
      <c r="A2" s="31" t="s">
        <v>297</v>
      </c>
    </row>
    <row r="3" spans="1:6" x14ac:dyDescent="0.25">
      <c r="A3" s="31" t="s">
        <v>356</v>
      </c>
    </row>
    <row r="5" spans="1:6" x14ac:dyDescent="0.25">
      <c r="A5" s="31" t="s">
        <v>312</v>
      </c>
    </row>
    <row r="6" spans="1:6" x14ac:dyDescent="0.25">
      <c r="A6" s="31" t="s">
        <v>313</v>
      </c>
    </row>
    <row r="7" spans="1:6" x14ac:dyDescent="0.25">
      <c r="A7" s="31" t="s">
        <v>298</v>
      </c>
    </row>
    <row r="9" spans="1:6" x14ac:dyDescent="0.25">
      <c r="A9" s="32" t="s">
        <v>180</v>
      </c>
      <c r="B9" s="32" t="s">
        <v>181</v>
      </c>
      <c r="C9" s="32" t="s">
        <v>182</v>
      </c>
      <c r="D9" s="32" t="s">
        <v>183</v>
      </c>
      <c r="E9" s="32" t="s">
        <v>193</v>
      </c>
      <c r="F9" s="30" t="s">
        <v>194</v>
      </c>
    </row>
    <row r="10" spans="1:6" x14ac:dyDescent="0.25">
      <c r="A10" s="35" t="s">
        <v>240</v>
      </c>
      <c r="B10" s="35"/>
      <c r="C10" s="26" t="s">
        <v>184</v>
      </c>
      <c r="D10" s="26" t="s">
        <v>186</v>
      </c>
      <c r="E10" s="26" t="s">
        <v>197</v>
      </c>
      <c r="F10" s="16" t="s">
        <v>187</v>
      </c>
    </row>
    <row r="11" spans="1:6" x14ac:dyDescent="0.25">
      <c r="A11" s="36"/>
      <c r="B11" s="36"/>
      <c r="C11" s="26" t="s">
        <v>185</v>
      </c>
      <c r="D11" s="26" t="s">
        <v>188</v>
      </c>
      <c r="E11" s="26" t="s">
        <v>188</v>
      </c>
      <c r="F11" s="16" t="s">
        <v>188</v>
      </c>
    </row>
    <row r="12" spans="1:6" x14ac:dyDescent="0.25">
      <c r="A12" s="35" t="s">
        <v>242</v>
      </c>
      <c r="B12" s="35"/>
      <c r="C12" s="35" t="s">
        <v>243</v>
      </c>
      <c r="D12" s="35" t="s">
        <v>244</v>
      </c>
      <c r="E12" s="26" t="s">
        <v>245</v>
      </c>
      <c r="F12" s="16" t="s">
        <v>187</v>
      </c>
    </row>
    <row r="13" spans="1:6" x14ac:dyDescent="0.25">
      <c r="A13" s="41"/>
      <c r="B13" s="41"/>
      <c r="C13" s="36"/>
      <c r="D13" s="36"/>
      <c r="E13" s="26" t="s">
        <v>246</v>
      </c>
      <c r="F13" s="16" t="s">
        <v>247</v>
      </c>
    </row>
    <row r="14" spans="1:6" x14ac:dyDescent="0.25">
      <c r="A14" s="36"/>
      <c r="B14" s="36"/>
      <c r="C14" s="26" t="s">
        <v>185</v>
      </c>
      <c r="D14" s="26" t="s">
        <v>188</v>
      </c>
      <c r="E14" s="26" t="s">
        <v>188</v>
      </c>
      <c r="F14" s="16" t="s">
        <v>188</v>
      </c>
    </row>
    <row r="15" spans="1:6" x14ac:dyDescent="0.25">
      <c r="A15" s="35" t="s">
        <v>189</v>
      </c>
      <c r="B15" s="35"/>
      <c r="C15" s="35" t="s">
        <v>192</v>
      </c>
      <c r="D15" s="35" t="s">
        <v>191</v>
      </c>
      <c r="E15" s="26" t="s">
        <v>200</v>
      </c>
      <c r="F15" s="16" t="s">
        <v>195</v>
      </c>
    </row>
    <row r="16" spans="1:6" x14ac:dyDescent="0.25">
      <c r="A16" s="41"/>
      <c r="B16" s="41"/>
      <c r="C16" s="36"/>
      <c r="D16" s="36"/>
      <c r="E16" s="26" t="s">
        <v>201</v>
      </c>
      <c r="F16" s="16" t="s">
        <v>199</v>
      </c>
    </row>
    <row r="17" spans="1:6" x14ac:dyDescent="0.25">
      <c r="A17" s="36"/>
      <c r="B17" s="36"/>
      <c r="C17" s="26" t="s">
        <v>185</v>
      </c>
      <c r="D17" s="26" t="s">
        <v>188</v>
      </c>
      <c r="E17" s="26" t="s">
        <v>188</v>
      </c>
      <c r="F17" s="16" t="s">
        <v>188</v>
      </c>
    </row>
    <row r="18" spans="1:6" x14ac:dyDescent="0.25">
      <c r="A18" s="35" t="s">
        <v>190</v>
      </c>
      <c r="B18" s="39"/>
      <c r="C18" s="27" t="s">
        <v>196</v>
      </c>
      <c r="D18" s="27" t="s">
        <v>191</v>
      </c>
      <c r="E18" s="26" t="s">
        <v>197</v>
      </c>
      <c r="F18" s="16" t="s">
        <v>187</v>
      </c>
    </row>
    <row r="19" spans="1:6" x14ac:dyDescent="0.25">
      <c r="A19" s="36"/>
      <c r="B19" s="40"/>
      <c r="C19" s="26" t="s">
        <v>185</v>
      </c>
      <c r="D19" s="26" t="s">
        <v>188</v>
      </c>
      <c r="E19" s="26"/>
      <c r="F19" s="16" t="s">
        <v>188</v>
      </c>
    </row>
    <row r="20" spans="1:6" x14ac:dyDescent="0.25">
      <c r="A20" s="35" t="s">
        <v>210</v>
      </c>
      <c r="B20" s="39"/>
      <c r="C20" s="27" t="s">
        <v>192</v>
      </c>
      <c r="D20" s="27" t="s">
        <v>191</v>
      </c>
      <c r="E20" s="26" t="s">
        <v>200</v>
      </c>
      <c r="F20" s="16" t="s">
        <v>192</v>
      </c>
    </row>
    <row r="21" spans="1:6" x14ac:dyDescent="0.25">
      <c r="A21" s="41"/>
      <c r="B21" s="42"/>
      <c r="C21" s="28"/>
      <c r="D21" s="28"/>
      <c r="E21" s="26" t="s">
        <v>201</v>
      </c>
      <c r="F21" s="16" t="s">
        <v>214</v>
      </c>
    </row>
    <row r="22" spans="1:6" x14ac:dyDescent="0.25">
      <c r="A22" s="36"/>
      <c r="B22" s="40"/>
      <c r="C22" s="26" t="s">
        <v>202</v>
      </c>
      <c r="D22" s="26" t="s">
        <v>188</v>
      </c>
      <c r="E22" s="26" t="s">
        <v>188</v>
      </c>
      <c r="F22" s="16" t="s">
        <v>209</v>
      </c>
    </row>
    <row r="23" spans="1:6" x14ac:dyDescent="0.25">
      <c r="A23" s="35" t="s">
        <v>211</v>
      </c>
      <c r="B23" s="39"/>
      <c r="C23" s="27" t="s">
        <v>192</v>
      </c>
      <c r="D23" s="27" t="s">
        <v>191</v>
      </c>
      <c r="E23" s="26" t="s">
        <v>200</v>
      </c>
      <c r="F23" s="16" t="s">
        <v>192</v>
      </c>
    </row>
    <row r="24" spans="1:6" x14ac:dyDescent="0.25">
      <c r="A24" s="41"/>
      <c r="B24" s="42"/>
      <c r="C24" s="28"/>
      <c r="D24" s="28"/>
      <c r="E24" s="26" t="s">
        <v>201</v>
      </c>
      <c r="F24" s="16" t="s">
        <v>212</v>
      </c>
    </row>
    <row r="25" spans="1:6" x14ac:dyDescent="0.25">
      <c r="A25" s="36"/>
      <c r="B25" s="40"/>
      <c r="C25" s="26" t="s">
        <v>202</v>
      </c>
      <c r="D25" s="26" t="s">
        <v>188</v>
      </c>
      <c r="E25" s="26" t="s">
        <v>188</v>
      </c>
      <c r="F25" s="16" t="s">
        <v>212</v>
      </c>
    </row>
    <row r="26" spans="1:6" x14ac:dyDescent="0.25">
      <c r="A26" s="35" t="s">
        <v>203</v>
      </c>
      <c r="B26" s="39"/>
      <c r="C26" s="27" t="s">
        <v>206</v>
      </c>
      <c r="D26" s="27" t="s">
        <v>198</v>
      </c>
      <c r="E26" s="26" t="s">
        <v>197</v>
      </c>
      <c r="F26" s="16" t="s">
        <v>204</v>
      </c>
    </row>
    <row r="27" spans="1:6" x14ac:dyDescent="0.25">
      <c r="A27" s="36"/>
      <c r="B27" s="40"/>
      <c r="C27" s="26" t="s">
        <v>185</v>
      </c>
      <c r="D27" s="26" t="s">
        <v>188</v>
      </c>
      <c r="E27" s="26" t="s">
        <v>188</v>
      </c>
      <c r="F27" s="16" t="s">
        <v>188</v>
      </c>
    </row>
    <row r="28" spans="1:6" x14ac:dyDescent="0.25">
      <c r="A28" s="35" t="s">
        <v>205</v>
      </c>
      <c r="B28" s="39"/>
      <c r="C28" s="27" t="s">
        <v>206</v>
      </c>
      <c r="D28" s="27" t="s">
        <v>207</v>
      </c>
      <c r="E28" s="26" t="s">
        <v>197</v>
      </c>
      <c r="F28" s="16" t="s">
        <v>208</v>
      </c>
    </row>
    <row r="29" spans="1:6" x14ac:dyDescent="0.25">
      <c r="A29" s="36"/>
      <c r="B29" s="40"/>
      <c r="C29" s="26" t="s">
        <v>185</v>
      </c>
      <c r="D29" s="26" t="s">
        <v>188</v>
      </c>
      <c r="E29" s="26" t="s">
        <v>188</v>
      </c>
      <c r="F29" s="16" t="s">
        <v>188</v>
      </c>
    </row>
    <row r="30" spans="1:6" ht="31.5" x14ac:dyDescent="0.25">
      <c r="A30" s="35" t="s">
        <v>213</v>
      </c>
      <c r="B30" s="39"/>
      <c r="C30" s="27" t="s">
        <v>206</v>
      </c>
      <c r="D30" s="27" t="s">
        <v>198</v>
      </c>
      <c r="E30" s="26" t="s">
        <v>197</v>
      </c>
      <c r="F30" s="16" t="s">
        <v>241</v>
      </c>
    </row>
    <row r="31" spans="1:6" x14ac:dyDescent="0.25">
      <c r="A31" s="36"/>
      <c r="B31" s="40"/>
      <c r="C31" s="26" t="s">
        <v>185</v>
      </c>
      <c r="D31" s="26" t="s">
        <v>188</v>
      </c>
      <c r="E31" s="26" t="s">
        <v>188</v>
      </c>
      <c r="F31" s="16" t="s">
        <v>188</v>
      </c>
    </row>
    <row r="32" spans="1:6" x14ac:dyDescent="0.25">
      <c r="A32" s="35" t="s">
        <v>299</v>
      </c>
      <c r="B32" s="26"/>
      <c r="C32" s="26" t="s">
        <v>300</v>
      </c>
      <c r="D32" s="26" t="s">
        <v>302</v>
      </c>
      <c r="E32" s="26" t="s">
        <v>197</v>
      </c>
      <c r="F32" s="16" t="s">
        <v>303</v>
      </c>
    </row>
    <row r="33" spans="1:6" x14ac:dyDescent="0.25">
      <c r="A33" s="36"/>
      <c r="B33" s="26"/>
      <c r="C33" s="26" t="s">
        <v>301</v>
      </c>
      <c r="D33" s="26" t="s">
        <v>188</v>
      </c>
      <c r="E33" s="26" t="s">
        <v>188</v>
      </c>
      <c r="F33" s="16" t="s">
        <v>304</v>
      </c>
    </row>
    <row r="34" spans="1:6" x14ac:dyDescent="0.25">
      <c r="A34" s="37" t="s">
        <v>305</v>
      </c>
      <c r="B34" s="26"/>
      <c r="C34" s="26" t="s">
        <v>306</v>
      </c>
      <c r="D34" s="26" t="s">
        <v>302</v>
      </c>
      <c r="E34" s="26" t="s">
        <v>197</v>
      </c>
      <c r="F34" s="16" t="s">
        <v>309</v>
      </c>
    </row>
    <row r="35" spans="1:6" x14ac:dyDescent="0.25">
      <c r="A35" s="38"/>
      <c r="B35" s="26"/>
      <c r="C35" s="26" t="s">
        <v>307</v>
      </c>
      <c r="D35" s="26" t="s">
        <v>188</v>
      </c>
      <c r="E35" s="26" t="s">
        <v>188</v>
      </c>
      <c r="F35" s="16" t="s">
        <v>308</v>
      </c>
    </row>
    <row r="36" spans="1:6" x14ac:dyDescent="0.25">
      <c r="A36" s="37" t="s">
        <v>355</v>
      </c>
      <c r="B36" s="26"/>
      <c r="C36" s="26" t="s">
        <v>352</v>
      </c>
      <c r="D36" s="26" t="s">
        <v>353</v>
      </c>
      <c r="E36" s="26" t="s">
        <v>197</v>
      </c>
      <c r="F36" s="16" t="s">
        <v>354</v>
      </c>
    </row>
    <row r="37" spans="1:6" x14ac:dyDescent="0.25">
      <c r="A37" s="38"/>
      <c r="B37" s="26"/>
      <c r="C37" s="26" t="s">
        <v>301</v>
      </c>
      <c r="D37" s="26" t="s">
        <v>188</v>
      </c>
      <c r="E37" s="26" t="s">
        <v>188</v>
      </c>
      <c r="F37" s="26" t="s">
        <v>188</v>
      </c>
    </row>
  </sheetData>
  <mergeCells count="25">
    <mergeCell ref="D12:D13"/>
    <mergeCell ref="C12:C13"/>
    <mergeCell ref="D15:D16"/>
    <mergeCell ref="C15:C16"/>
    <mergeCell ref="B18:B19"/>
    <mergeCell ref="B28:B29"/>
    <mergeCell ref="A28:A29"/>
    <mergeCell ref="B26:B27"/>
    <mergeCell ref="A26:A27"/>
    <mergeCell ref="A10:A11"/>
    <mergeCell ref="B10:B11"/>
    <mergeCell ref="B12:B14"/>
    <mergeCell ref="A12:A14"/>
    <mergeCell ref="B15:B17"/>
    <mergeCell ref="A15:A17"/>
    <mergeCell ref="A18:A19"/>
    <mergeCell ref="A20:A22"/>
    <mergeCell ref="B20:B22"/>
    <mergeCell ref="B23:B25"/>
    <mergeCell ref="A23:A25"/>
    <mergeCell ref="A32:A33"/>
    <mergeCell ref="A34:A35"/>
    <mergeCell ref="A36:A37"/>
    <mergeCell ref="B30:B31"/>
    <mergeCell ref="A30:A3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8"/>
  <sheetViews>
    <sheetView zoomScale="85" zoomScaleNormal="85" workbookViewId="0">
      <selection activeCell="E19" sqref="E19"/>
    </sheetView>
  </sheetViews>
  <sheetFormatPr defaultRowHeight="15.75" x14ac:dyDescent="0.25"/>
  <cols>
    <col min="1" max="16384" width="9" style="5"/>
  </cols>
  <sheetData>
    <row r="1" spans="1:1" ht="16.5" x14ac:dyDescent="0.25">
      <c r="A1" s="4" t="s">
        <v>97</v>
      </c>
    </row>
    <row r="2" spans="1:1" x14ac:dyDescent="0.25">
      <c r="A2" s="5" t="s">
        <v>98</v>
      </c>
    </row>
    <row r="3" spans="1:1" x14ac:dyDescent="0.25">
      <c r="A3" s="5" t="s">
        <v>99</v>
      </c>
    </row>
    <row r="4" spans="1:1" x14ac:dyDescent="0.25">
      <c r="A4" s="5" t="s">
        <v>314</v>
      </c>
    </row>
    <row r="5" spans="1:1" x14ac:dyDescent="0.25">
      <c r="A5" s="5" t="s">
        <v>315</v>
      </c>
    </row>
    <row r="7" spans="1:1" ht="16.5" x14ac:dyDescent="0.25">
      <c r="A7" s="4" t="s">
        <v>100</v>
      </c>
    </row>
    <row r="8" spans="1:1" x14ac:dyDescent="0.25">
      <c r="A8" s="5" t="s">
        <v>101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9"/>
  <sheetViews>
    <sheetView zoomScale="85" zoomScaleNormal="85" workbookViewId="0">
      <selection activeCell="D25" sqref="D25"/>
    </sheetView>
  </sheetViews>
  <sheetFormatPr defaultRowHeight="15.75" x14ac:dyDescent="0.25"/>
  <cols>
    <col min="1" max="1" width="12.125" style="5" bestFit="1" customWidth="1"/>
    <col min="2" max="2" width="12.75" style="5" customWidth="1"/>
    <col min="3" max="16384" width="9" style="5"/>
  </cols>
  <sheetData>
    <row r="1" spans="1:15" ht="16.5" x14ac:dyDescent="0.25">
      <c r="B1" s="4" t="s">
        <v>282</v>
      </c>
      <c r="C1" s="34" t="s">
        <v>283</v>
      </c>
    </row>
    <row r="2" spans="1:15" x14ac:dyDescent="0.25">
      <c r="A2" s="5" t="s">
        <v>102</v>
      </c>
      <c r="B2" s="5" t="s">
        <v>103</v>
      </c>
      <c r="C2" s="5" t="s">
        <v>104</v>
      </c>
    </row>
    <row r="3" spans="1:15" x14ac:dyDescent="0.25">
      <c r="A3" s="5" t="s">
        <v>102</v>
      </c>
      <c r="B3" s="5" t="s">
        <v>105</v>
      </c>
      <c r="C3" s="5" t="s">
        <v>106</v>
      </c>
    </row>
    <row r="4" spans="1:15" x14ac:dyDescent="0.25">
      <c r="A4" s="5" t="s">
        <v>102</v>
      </c>
      <c r="B4" s="5" t="s">
        <v>107</v>
      </c>
      <c r="C4" s="5" t="s">
        <v>108</v>
      </c>
    </row>
    <row r="6" spans="1:15" ht="16.5" x14ac:dyDescent="0.25">
      <c r="B6" s="4" t="s">
        <v>281</v>
      </c>
    </row>
    <row r="7" spans="1:15" x14ac:dyDescent="0.25">
      <c r="A7" s="5" t="s">
        <v>109</v>
      </c>
      <c r="B7" s="5" t="s">
        <v>357</v>
      </c>
      <c r="C7" s="5" t="s">
        <v>383</v>
      </c>
      <c r="N7" s="5" t="s">
        <v>360</v>
      </c>
      <c r="O7" s="5" t="s">
        <v>369</v>
      </c>
    </row>
    <row r="8" spans="1:15" x14ac:dyDescent="0.25">
      <c r="A8" s="5" t="s">
        <v>109</v>
      </c>
      <c r="B8" s="5" t="s">
        <v>287</v>
      </c>
      <c r="C8" s="5" t="s">
        <v>284</v>
      </c>
      <c r="H8" s="5" t="s">
        <v>359</v>
      </c>
      <c r="I8" s="5" t="s">
        <v>362</v>
      </c>
      <c r="J8" s="5" t="s">
        <v>363</v>
      </c>
      <c r="K8" s="5" t="s">
        <v>364</v>
      </c>
      <c r="L8" s="5" t="s">
        <v>365</v>
      </c>
      <c r="N8" s="5" t="s">
        <v>361</v>
      </c>
      <c r="O8" s="5" t="s">
        <v>370</v>
      </c>
    </row>
    <row r="9" spans="1:15" x14ac:dyDescent="0.25">
      <c r="A9" s="5" t="s">
        <v>109</v>
      </c>
      <c r="B9" s="5" t="s">
        <v>285</v>
      </c>
      <c r="C9" s="5" t="s">
        <v>286</v>
      </c>
      <c r="N9" s="5" t="s">
        <v>366</v>
      </c>
      <c r="O9" s="5" t="s">
        <v>371</v>
      </c>
    </row>
    <row r="10" spans="1:15" x14ac:dyDescent="0.25">
      <c r="A10" s="5" t="s">
        <v>109</v>
      </c>
      <c r="B10" s="5" t="s">
        <v>279</v>
      </c>
      <c r="C10" s="5" t="s">
        <v>280</v>
      </c>
      <c r="N10" s="5" t="s">
        <v>367</v>
      </c>
      <c r="O10" s="5" t="s">
        <v>372</v>
      </c>
    </row>
    <row r="11" spans="1:15" x14ac:dyDescent="0.25">
      <c r="A11" s="5" t="s">
        <v>109</v>
      </c>
      <c r="B11" s="5" t="s">
        <v>110</v>
      </c>
      <c r="C11" s="5" t="s">
        <v>111</v>
      </c>
      <c r="N11" s="5" t="s">
        <v>368</v>
      </c>
      <c r="O11" s="5" t="s">
        <v>373</v>
      </c>
    </row>
    <row r="12" spans="1:15" x14ac:dyDescent="0.25">
      <c r="A12" s="5" t="s">
        <v>109</v>
      </c>
      <c r="B12" s="5" t="s">
        <v>97</v>
      </c>
      <c r="C12" s="5" t="s">
        <v>113</v>
      </c>
      <c r="N12" s="5" t="s">
        <v>374</v>
      </c>
      <c r="O12" s="5" t="s">
        <v>375</v>
      </c>
    </row>
    <row r="13" spans="1:15" x14ac:dyDescent="0.25">
      <c r="A13" s="5" t="s">
        <v>109</v>
      </c>
      <c r="B13" s="5" t="s">
        <v>100</v>
      </c>
      <c r="C13" s="5" t="s">
        <v>112</v>
      </c>
    </row>
    <row r="15" spans="1:15" ht="16.5" x14ac:dyDescent="0.25">
      <c r="B15" s="4" t="s">
        <v>114</v>
      </c>
    </row>
    <row r="16" spans="1:15" x14ac:dyDescent="0.25">
      <c r="A16" s="5" t="s">
        <v>109</v>
      </c>
      <c r="B16" s="5" t="s">
        <v>115</v>
      </c>
      <c r="C16" s="5" t="s">
        <v>116</v>
      </c>
    </row>
    <row r="17" spans="1:4" x14ac:dyDescent="0.25">
      <c r="A17" s="5" t="s">
        <v>109</v>
      </c>
      <c r="B17" s="5" t="s">
        <v>117</v>
      </c>
      <c r="C17" s="5" t="s">
        <v>118</v>
      </c>
    </row>
    <row r="20" spans="1:4" x14ac:dyDescent="0.25">
      <c r="A20" s="43" t="s">
        <v>376</v>
      </c>
      <c r="B20" s="43" t="s">
        <v>377</v>
      </c>
      <c r="C20" s="43" t="s">
        <v>378</v>
      </c>
      <c r="D20" s="43" t="s">
        <v>379</v>
      </c>
    </row>
    <row r="21" spans="1:4" x14ac:dyDescent="0.25">
      <c r="A21" s="13" t="s">
        <v>88</v>
      </c>
      <c r="B21" s="13" t="s">
        <v>48</v>
      </c>
      <c r="C21" s="13"/>
      <c r="D21" s="13"/>
    </row>
    <row r="22" spans="1:4" x14ac:dyDescent="0.25">
      <c r="A22" s="13" t="s">
        <v>90</v>
      </c>
      <c r="B22" s="13" t="s">
        <v>48</v>
      </c>
      <c r="C22" s="13"/>
      <c r="D22" s="13"/>
    </row>
    <row r="23" spans="1:4" x14ac:dyDescent="0.25">
      <c r="A23" s="13" t="s">
        <v>223</v>
      </c>
      <c r="B23" s="13" t="s">
        <v>52</v>
      </c>
      <c r="C23" s="13"/>
      <c r="D23" s="13" t="s">
        <v>382</v>
      </c>
    </row>
    <row r="24" spans="1:4" x14ac:dyDescent="0.25">
      <c r="A24" s="13" t="s">
        <v>225</v>
      </c>
      <c r="B24" s="13" t="s">
        <v>52</v>
      </c>
      <c r="C24" s="13"/>
      <c r="D24" s="13" t="s">
        <v>381</v>
      </c>
    </row>
    <row r="25" spans="1:4" x14ac:dyDescent="0.25">
      <c r="A25" s="13" t="s">
        <v>47</v>
      </c>
      <c r="B25" s="13" t="s">
        <v>55</v>
      </c>
      <c r="C25" s="13"/>
      <c r="D25" s="13"/>
    </row>
    <row r="26" spans="1:4" x14ac:dyDescent="0.25">
      <c r="A26" s="13" t="s">
        <v>51</v>
      </c>
      <c r="B26" s="13" t="s">
        <v>55</v>
      </c>
      <c r="C26" s="13"/>
      <c r="D26" s="13"/>
    </row>
    <row r="27" spans="1:4" x14ac:dyDescent="0.25">
      <c r="A27" s="13" t="s">
        <v>219</v>
      </c>
      <c r="B27" s="13" t="s">
        <v>239</v>
      </c>
      <c r="C27" s="13"/>
      <c r="D27" s="13"/>
    </row>
    <row r="28" spans="1:4" x14ac:dyDescent="0.25">
      <c r="A28" s="13" t="s">
        <v>56</v>
      </c>
      <c r="B28" s="13" t="s">
        <v>239</v>
      </c>
      <c r="C28" s="13"/>
      <c r="D28" s="13"/>
    </row>
    <row r="29" spans="1:4" x14ac:dyDescent="0.25">
      <c r="A29" s="13" t="s">
        <v>54</v>
      </c>
      <c r="B29" s="13" t="s">
        <v>239</v>
      </c>
      <c r="C29" s="13"/>
      <c r="D29" s="13" t="s">
        <v>380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2"/>
  <sheetViews>
    <sheetView zoomScale="85" zoomScaleNormal="85" workbookViewId="0">
      <selection activeCell="H9" sqref="H9"/>
    </sheetView>
  </sheetViews>
  <sheetFormatPr defaultRowHeight="15.75" x14ac:dyDescent="0.25"/>
  <cols>
    <col min="1" max="1" width="9" style="5"/>
    <col min="2" max="2" width="11.625" style="5" bestFit="1" customWidth="1"/>
    <col min="3" max="16384" width="9" style="5"/>
  </cols>
  <sheetData>
    <row r="1" spans="1:17" ht="16.5" x14ac:dyDescent="0.25">
      <c r="B1" s="4" t="s">
        <v>324</v>
      </c>
    </row>
    <row r="2" spans="1:17" x14ac:dyDescent="0.25">
      <c r="A2" s="5" t="s">
        <v>293</v>
      </c>
      <c r="B2" s="5" t="s">
        <v>291</v>
      </c>
      <c r="C2" s="5" t="s">
        <v>292</v>
      </c>
      <c r="L2" s="5" t="s">
        <v>120</v>
      </c>
      <c r="M2" s="5" t="s">
        <v>121</v>
      </c>
      <c r="N2" s="5" t="s">
        <v>122</v>
      </c>
      <c r="Q2" s="5" t="s">
        <v>121</v>
      </c>
    </row>
    <row r="3" spans="1:17" x14ac:dyDescent="0.25">
      <c r="A3" s="5" t="s">
        <v>293</v>
      </c>
      <c r="B3" s="5" t="s">
        <v>123</v>
      </c>
      <c r="C3" s="5" t="s">
        <v>124</v>
      </c>
      <c r="N3" s="5" t="s">
        <v>125</v>
      </c>
      <c r="Q3" s="5" t="s">
        <v>122</v>
      </c>
    </row>
    <row r="4" spans="1:17" x14ac:dyDescent="0.25">
      <c r="A4" s="5" t="s">
        <v>328</v>
      </c>
      <c r="B4" s="5" t="s">
        <v>329</v>
      </c>
      <c r="C4" s="5" t="s">
        <v>330</v>
      </c>
      <c r="L4" s="5" t="s">
        <v>126</v>
      </c>
      <c r="M4" s="5" t="s">
        <v>127</v>
      </c>
      <c r="N4" s="5" t="s">
        <v>128</v>
      </c>
      <c r="Q4" s="5" t="s">
        <v>125</v>
      </c>
    </row>
    <row r="5" spans="1:17" x14ac:dyDescent="0.25">
      <c r="A5" s="5" t="s">
        <v>143</v>
      </c>
      <c r="B5" s="5" t="s">
        <v>129</v>
      </c>
      <c r="C5" s="5" t="s">
        <v>221</v>
      </c>
      <c r="L5" s="5" t="s">
        <v>130</v>
      </c>
      <c r="M5" s="5" t="s">
        <v>128</v>
      </c>
      <c r="O5" s="5" t="s">
        <v>131</v>
      </c>
      <c r="Q5" s="5" t="s">
        <v>127</v>
      </c>
    </row>
    <row r="6" spans="1:17" x14ac:dyDescent="0.25">
      <c r="A6" s="5" t="s">
        <v>143</v>
      </c>
      <c r="B6" s="5" t="s">
        <v>317</v>
      </c>
      <c r="C6" s="5" t="s">
        <v>318</v>
      </c>
      <c r="L6" s="5" t="s">
        <v>133</v>
      </c>
      <c r="M6" s="5" t="s">
        <v>134</v>
      </c>
      <c r="N6" s="5" t="s">
        <v>135</v>
      </c>
      <c r="O6" s="5" t="s">
        <v>136</v>
      </c>
      <c r="Q6" s="5" t="s">
        <v>134</v>
      </c>
    </row>
    <row r="7" spans="1:17" x14ac:dyDescent="0.25">
      <c r="A7" s="5" t="s">
        <v>326</v>
      </c>
      <c r="B7" s="5" t="s">
        <v>389</v>
      </c>
      <c r="C7" s="5" t="s">
        <v>323</v>
      </c>
      <c r="L7" s="5" t="s">
        <v>137</v>
      </c>
      <c r="M7" s="5" t="s">
        <v>138</v>
      </c>
      <c r="N7" s="5" t="s">
        <v>139</v>
      </c>
      <c r="Q7" s="5" t="s">
        <v>135</v>
      </c>
    </row>
    <row r="8" spans="1:17" x14ac:dyDescent="0.25">
      <c r="A8" s="5" t="s">
        <v>316</v>
      </c>
      <c r="B8" s="5" t="s">
        <v>132</v>
      </c>
      <c r="C8" s="5" t="s">
        <v>401</v>
      </c>
      <c r="L8" s="5" t="s">
        <v>140</v>
      </c>
      <c r="M8" s="5" t="s">
        <v>141</v>
      </c>
      <c r="N8" s="5" t="s">
        <v>142</v>
      </c>
      <c r="Q8" s="5" t="s">
        <v>136</v>
      </c>
    </row>
    <row r="9" spans="1:17" x14ac:dyDescent="0.25">
      <c r="A9" s="5" t="s">
        <v>316</v>
      </c>
      <c r="B9" s="5" t="s">
        <v>327</v>
      </c>
      <c r="C9" s="5" t="s">
        <v>384</v>
      </c>
      <c r="Q9" s="5" t="s">
        <v>138</v>
      </c>
    </row>
    <row r="10" spans="1:17" x14ac:dyDescent="0.25">
      <c r="A10" s="5" t="s">
        <v>325</v>
      </c>
      <c r="B10" s="5" t="s">
        <v>321</v>
      </c>
      <c r="C10" s="5" t="s">
        <v>322</v>
      </c>
      <c r="Q10" s="5" t="s">
        <v>139</v>
      </c>
    </row>
    <row r="11" spans="1:17" x14ac:dyDescent="0.25">
      <c r="A11" s="5" t="s">
        <v>336</v>
      </c>
      <c r="B11" s="5" t="s">
        <v>337</v>
      </c>
      <c r="C11" s="5" t="s">
        <v>337</v>
      </c>
      <c r="Q11" s="5" t="s">
        <v>141</v>
      </c>
    </row>
    <row r="12" spans="1:17" x14ac:dyDescent="0.25">
      <c r="Q12" s="5" t="s">
        <v>142</v>
      </c>
    </row>
    <row r="13" spans="1:17" ht="16.5" x14ac:dyDescent="0.25">
      <c r="B13" s="4" t="s">
        <v>146</v>
      </c>
    </row>
    <row r="14" spans="1:17" x14ac:dyDescent="0.25">
      <c r="B14" s="5" t="s">
        <v>331</v>
      </c>
      <c r="C14" s="5" t="s">
        <v>332</v>
      </c>
    </row>
    <row r="15" spans="1:17" x14ac:dyDescent="0.25">
      <c r="B15" s="5" t="s">
        <v>319</v>
      </c>
      <c r="C15" s="5" t="s">
        <v>332</v>
      </c>
    </row>
    <row r="17" spans="2:2" ht="16.5" x14ac:dyDescent="0.25">
      <c r="B17" s="4" t="s">
        <v>147</v>
      </c>
    </row>
    <row r="18" spans="2:2" x14ac:dyDescent="0.25">
      <c r="B18" s="5" t="s">
        <v>320</v>
      </c>
    </row>
    <row r="19" spans="2:2" x14ac:dyDescent="0.25">
      <c r="B19" s="5" t="s">
        <v>148</v>
      </c>
    </row>
    <row r="21" spans="2:2" x14ac:dyDescent="0.25">
      <c r="B21" s="5" t="s">
        <v>149</v>
      </c>
    </row>
    <row r="22" spans="2:2" x14ac:dyDescent="0.25">
      <c r="B22" s="5" t="s">
        <v>150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zoomScale="85" zoomScaleNormal="85" workbookViewId="0">
      <selection activeCell="B5" sqref="B5"/>
    </sheetView>
  </sheetViews>
  <sheetFormatPr defaultRowHeight="15.75" x14ac:dyDescent="0.25"/>
  <cols>
    <col min="1" max="1" width="9" style="5"/>
    <col min="2" max="2" width="57.625" style="17" customWidth="1"/>
    <col min="3" max="3" width="18.375" style="5" bestFit="1" customWidth="1"/>
    <col min="4" max="16384" width="9" style="5"/>
  </cols>
  <sheetData>
    <row r="1" spans="1:4" x14ac:dyDescent="0.25">
      <c r="A1" s="14" t="s">
        <v>151</v>
      </c>
      <c r="B1" s="15" t="s">
        <v>152</v>
      </c>
      <c r="C1" s="14" t="s">
        <v>153</v>
      </c>
      <c r="D1" s="14" t="s">
        <v>154</v>
      </c>
    </row>
    <row r="2" spans="1:4" ht="47.25" x14ac:dyDescent="0.25">
      <c r="A2" s="13" t="s">
        <v>143</v>
      </c>
      <c r="B2" s="16" t="s">
        <v>390</v>
      </c>
      <c r="C2" s="16" t="s">
        <v>333</v>
      </c>
      <c r="D2" s="13" t="s">
        <v>119</v>
      </c>
    </row>
    <row r="3" spans="1:4" ht="31.5" x14ac:dyDescent="0.25">
      <c r="A3" s="13" t="s">
        <v>155</v>
      </c>
      <c r="B3" s="16" t="s">
        <v>334</v>
      </c>
      <c r="C3" s="13" t="s">
        <v>387</v>
      </c>
      <c r="D3" s="13" t="s">
        <v>387</v>
      </c>
    </row>
    <row r="4" spans="1:4" ht="31.5" x14ac:dyDescent="0.25">
      <c r="A4" s="13" t="s">
        <v>145</v>
      </c>
      <c r="B4" s="16" t="s">
        <v>335</v>
      </c>
      <c r="C4" s="13" t="s">
        <v>387</v>
      </c>
      <c r="D4" s="13" t="s">
        <v>387</v>
      </c>
    </row>
    <row r="5" spans="1:4" ht="31.5" x14ac:dyDescent="0.25">
      <c r="A5" s="13" t="s">
        <v>144</v>
      </c>
      <c r="B5" s="16" t="s">
        <v>339</v>
      </c>
      <c r="C5" s="13" t="s">
        <v>387</v>
      </c>
      <c r="D5" s="13" t="s">
        <v>387</v>
      </c>
    </row>
    <row r="6" spans="1:4" x14ac:dyDescent="0.25">
      <c r="A6" s="13" t="s">
        <v>338</v>
      </c>
      <c r="B6" s="16" t="s">
        <v>340</v>
      </c>
      <c r="C6" s="13" t="s">
        <v>387</v>
      </c>
      <c r="D6" s="13" t="s">
        <v>387</v>
      </c>
    </row>
    <row r="7" spans="1:4" x14ac:dyDescent="0.25">
      <c r="A7" s="13" t="s">
        <v>325</v>
      </c>
      <c r="B7" s="16" t="s">
        <v>341</v>
      </c>
      <c r="C7" s="13" t="s">
        <v>387</v>
      </c>
      <c r="D7" s="13" t="s">
        <v>387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"/>
  <sheetViews>
    <sheetView zoomScale="85" zoomScaleNormal="85" workbookViewId="0">
      <selection activeCell="C18" sqref="C18"/>
    </sheetView>
  </sheetViews>
  <sheetFormatPr defaultRowHeight="15.75" x14ac:dyDescent="0.25"/>
  <cols>
    <col min="1" max="1" width="9" style="5"/>
    <col min="2" max="2" width="19.5" style="5" bestFit="1" customWidth="1"/>
    <col min="3" max="3" width="27.5" style="5" customWidth="1"/>
    <col min="4" max="16384" width="9" style="5"/>
  </cols>
  <sheetData>
    <row r="1" spans="1:3" x14ac:dyDescent="0.25">
      <c r="A1" s="5" t="s">
        <v>156</v>
      </c>
      <c r="B1" s="5" t="s">
        <v>157</v>
      </c>
      <c r="C1" s="5" t="s">
        <v>342</v>
      </c>
    </row>
    <row r="2" spans="1:3" x14ac:dyDescent="0.25">
      <c r="A2" s="5" t="s">
        <v>158</v>
      </c>
      <c r="B2" s="5" t="s">
        <v>159</v>
      </c>
      <c r="C2" s="5" t="s">
        <v>160</v>
      </c>
    </row>
    <row r="5" spans="1:3" x14ac:dyDescent="0.25">
      <c r="A5" s="5" t="s">
        <v>343</v>
      </c>
      <c r="B5" s="5" t="s">
        <v>350</v>
      </c>
      <c r="C5" s="5" t="s">
        <v>351</v>
      </c>
    </row>
    <row r="6" spans="1:3" x14ac:dyDescent="0.25">
      <c r="B6" s="5" t="s">
        <v>344</v>
      </c>
      <c r="C6" s="5" t="s">
        <v>347</v>
      </c>
    </row>
    <row r="7" spans="1:3" x14ac:dyDescent="0.25">
      <c r="B7" s="5" t="s">
        <v>345</v>
      </c>
      <c r="C7" s="5" t="s">
        <v>348</v>
      </c>
    </row>
    <row r="8" spans="1:3" x14ac:dyDescent="0.25">
      <c r="B8" s="5" t="s">
        <v>346</v>
      </c>
      <c r="C8" s="5" t="s">
        <v>349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zoomScale="85" zoomScaleNormal="85" workbookViewId="0">
      <selection activeCell="D25" sqref="D25"/>
    </sheetView>
  </sheetViews>
  <sheetFormatPr defaultRowHeight="15.75" x14ac:dyDescent="0.25"/>
  <cols>
    <col min="1" max="7" width="9" style="5"/>
    <col min="8" max="8" width="27.875" style="5" customWidth="1"/>
    <col min="9" max="16384" width="9" style="5"/>
  </cols>
  <sheetData>
    <row r="1" spans="1:23" x14ac:dyDescent="0.25">
      <c r="A1" s="5" t="s">
        <v>161</v>
      </c>
    </row>
    <row r="2" spans="1:23" x14ac:dyDescent="0.25">
      <c r="A2" s="5" t="s">
        <v>288</v>
      </c>
    </row>
    <row r="4" spans="1:23" x14ac:dyDescent="0.25">
      <c r="A4" s="11" t="s">
        <v>28</v>
      </c>
      <c r="B4" s="11" t="s">
        <v>58</v>
      </c>
      <c r="C4" s="11" t="s">
        <v>57</v>
      </c>
      <c r="D4" s="11" t="s">
        <v>29</v>
      </c>
      <c r="E4" s="11" t="s">
        <v>233</v>
      </c>
      <c r="F4" s="11" t="s">
        <v>30</v>
      </c>
      <c r="G4" s="12" t="s">
        <v>173</v>
      </c>
      <c r="H4" s="12" t="s">
        <v>172</v>
      </c>
      <c r="I4" s="5" t="s">
        <v>237</v>
      </c>
      <c r="J4" s="6" t="s">
        <v>80</v>
      </c>
      <c r="K4" s="7" t="s">
        <v>81</v>
      </c>
      <c r="L4" s="7"/>
      <c r="M4" s="7"/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</row>
    <row r="5" spans="1:23" x14ac:dyDescent="0.25">
      <c r="A5" s="20" t="s">
        <v>59</v>
      </c>
      <c r="B5" s="21" t="s">
        <v>62</v>
      </c>
      <c r="C5" s="21" t="s">
        <v>60</v>
      </c>
      <c r="D5" s="21" t="s">
        <v>61</v>
      </c>
      <c r="E5" s="21"/>
      <c r="F5" s="21" t="s">
        <v>63</v>
      </c>
      <c r="G5" s="22" t="s">
        <v>64</v>
      </c>
      <c r="H5" s="23" t="s">
        <v>65</v>
      </c>
      <c r="I5" s="5" t="s">
        <v>234</v>
      </c>
      <c r="J5" s="8" t="s">
        <v>87</v>
      </c>
      <c r="K5" s="9" t="s">
        <v>412</v>
      </c>
      <c r="L5" s="10"/>
      <c r="M5" s="10"/>
      <c r="N5" s="5" t="s">
        <v>88</v>
      </c>
      <c r="R5" s="5">
        <v>100</v>
      </c>
      <c r="S5" s="5">
        <v>5</v>
      </c>
      <c r="T5" s="5">
        <v>7</v>
      </c>
      <c r="U5" s="5">
        <f>R5/S5</f>
        <v>20</v>
      </c>
      <c r="V5" s="5">
        <f>R5/T5</f>
        <v>14.285714285714286</v>
      </c>
    </row>
    <row r="6" spans="1:23" x14ac:dyDescent="0.25">
      <c r="A6" s="20" t="s">
        <v>66</v>
      </c>
      <c r="B6" s="20" t="s">
        <v>68</v>
      </c>
      <c r="C6" s="21" t="s">
        <v>67</v>
      </c>
      <c r="D6" s="21">
        <v>80</v>
      </c>
      <c r="E6" s="21"/>
      <c r="F6" s="21" t="s">
        <v>63</v>
      </c>
      <c r="G6" s="22" t="s">
        <v>402</v>
      </c>
      <c r="H6" s="5" t="s">
        <v>410</v>
      </c>
      <c r="I6" s="5" t="s">
        <v>234</v>
      </c>
      <c r="J6" s="8" t="s">
        <v>89</v>
      </c>
      <c r="K6" s="9" t="s">
        <v>220</v>
      </c>
      <c r="L6" s="10"/>
      <c r="M6" s="10"/>
      <c r="N6" s="5" t="s">
        <v>90</v>
      </c>
    </row>
    <row r="7" spans="1:23" x14ac:dyDescent="0.25">
      <c r="A7" s="20" t="s">
        <v>70</v>
      </c>
      <c r="B7" s="21" t="s">
        <v>62</v>
      </c>
      <c r="C7" s="21" t="s">
        <v>39</v>
      </c>
      <c r="D7" s="21" t="s">
        <v>72</v>
      </c>
      <c r="E7" s="21"/>
      <c r="F7" s="21" t="s">
        <v>73</v>
      </c>
      <c r="G7" s="22" t="s">
        <v>64</v>
      </c>
      <c r="H7" s="23" t="s">
        <v>74</v>
      </c>
      <c r="I7" s="5" t="s">
        <v>235</v>
      </c>
      <c r="J7" s="8" t="s">
        <v>91</v>
      </c>
      <c r="K7" s="9" t="s">
        <v>92</v>
      </c>
      <c r="L7" s="10"/>
      <c r="M7" s="10"/>
      <c r="N7" s="5" t="s">
        <v>223</v>
      </c>
    </row>
    <row r="8" spans="1:23" x14ac:dyDescent="0.25">
      <c r="A8" s="8" t="s">
        <v>174</v>
      </c>
      <c r="B8" s="21" t="s">
        <v>62</v>
      </c>
      <c r="C8" s="21" t="s">
        <v>39</v>
      </c>
      <c r="D8" s="21" t="s">
        <v>175</v>
      </c>
      <c r="E8" s="21"/>
      <c r="F8" s="21" t="s">
        <v>176</v>
      </c>
      <c r="G8" s="22" t="s">
        <v>408</v>
      </c>
      <c r="H8" s="23" t="s">
        <v>409</v>
      </c>
      <c r="I8" s="5" t="s">
        <v>235</v>
      </c>
      <c r="J8" s="8" t="s">
        <v>174</v>
      </c>
      <c r="K8" s="9" t="s">
        <v>93</v>
      </c>
      <c r="L8" s="10"/>
      <c r="M8" s="10"/>
      <c r="N8" s="5" t="s">
        <v>225</v>
      </c>
      <c r="Q8" s="5" t="s">
        <v>94</v>
      </c>
      <c r="R8" s="5" t="s">
        <v>95</v>
      </c>
      <c r="S8" s="5" t="s">
        <v>96</v>
      </c>
      <c r="T8" s="5" t="s">
        <v>40</v>
      </c>
      <c r="U8" s="5" t="s">
        <v>41</v>
      </c>
      <c r="V8" s="5" t="s">
        <v>42</v>
      </c>
      <c r="W8" s="5" t="s">
        <v>43</v>
      </c>
    </row>
    <row r="9" spans="1:23" x14ac:dyDescent="0.25">
      <c r="A9" s="20" t="s">
        <v>45</v>
      </c>
      <c r="B9" s="20" t="s">
        <v>62</v>
      </c>
      <c r="C9" s="20" t="s">
        <v>75</v>
      </c>
      <c r="D9" s="20">
        <v>70</v>
      </c>
      <c r="E9" s="20"/>
      <c r="F9" s="20">
        <v>-12</v>
      </c>
      <c r="G9" s="20">
        <v>3</v>
      </c>
      <c r="H9" s="20" t="s">
        <v>411</v>
      </c>
      <c r="I9" s="5" t="s">
        <v>236</v>
      </c>
      <c r="J9" s="8" t="s">
        <v>45</v>
      </c>
      <c r="K9" s="9" t="s">
        <v>46</v>
      </c>
      <c r="L9" s="10"/>
      <c r="M9" s="10"/>
      <c r="N9" s="5" t="s">
        <v>47</v>
      </c>
      <c r="P9" s="5" t="s">
        <v>48</v>
      </c>
      <c r="Q9" s="5">
        <v>80</v>
      </c>
      <c r="R9" s="5">
        <v>10</v>
      </c>
      <c r="S9" s="5">
        <f>Q9</f>
        <v>80</v>
      </c>
      <c r="T9" s="5">
        <f>$Q9-$R9*1</f>
        <v>70</v>
      </c>
      <c r="U9" s="5">
        <f>$Q9-$R9*2</f>
        <v>60</v>
      </c>
      <c r="V9" s="5">
        <f>$Q9-$R9*3</f>
        <v>50</v>
      </c>
      <c r="W9" s="5">
        <f>$Q9-$R9*4</f>
        <v>40</v>
      </c>
    </row>
    <row r="10" spans="1:23" x14ac:dyDescent="0.25">
      <c r="A10" s="24" t="s">
        <v>49</v>
      </c>
      <c r="B10" s="20" t="s">
        <v>68</v>
      </c>
      <c r="C10" s="20" t="s">
        <v>71</v>
      </c>
      <c r="D10" s="20">
        <v>70</v>
      </c>
      <c r="E10" s="20"/>
      <c r="F10" s="20">
        <v>-12</v>
      </c>
      <c r="G10" s="20">
        <v>3</v>
      </c>
      <c r="H10" s="21" t="s">
        <v>69</v>
      </c>
      <c r="I10" s="5" t="s">
        <v>236</v>
      </c>
      <c r="J10" s="8" t="s">
        <v>49</v>
      </c>
      <c r="K10" s="9" t="s">
        <v>50</v>
      </c>
      <c r="L10" s="10"/>
      <c r="M10" s="10"/>
      <c r="N10" s="5" t="s">
        <v>51</v>
      </c>
      <c r="P10" s="5" t="s">
        <v>52</v>
      </c>
      <c r="Q10" s="5">
        <v>90</v>
      </c>
      <c r="R10" s="5">
        <v>8</v>
      </c>
      <c r="S10" s="5">
        <f>Q10</f>
        <v>90</v>
      </c>
      <c r="T10" s="5">
        <f>$Q10-$R10*1</f>
        <v>82</v>
      </c>
      <c r="U10" s="5">
        <f>$Q10-$R10*2</f>
        <v>74</v>
      </c>
      <c r="V10" s="5">
        <f>$Q10-$R10*3</f>
        <v>66</v>
      </c>
      <c r="W10" s="5">
        <f>$Q10-$R10*4</f>
        <v>58</v>
      </c>
    </row>
    <row r="11" spans="1:23" x14ac:dyDescent="0.25">
      <c r="A11" s="20" t="s">
        <v>405</v>
      </c>
      <c r="B11" s="20" t="s">
        <v>76</v>
      </c>
      <c r="C11" s="20" t="s">
        <v>60</v>
      </c>
      <c r="D11" s="20">
        <v>70</v>
      </c>
      <c r="E11" s="20"/>
      <c r="F11" s="20">
        <v>-12</v>
      </c>
      <c r="G11" s="22" t="s">
        <v>77</v>
      </c>
      <c r="H11" s="20" t="s">
        <v>79</v>
      </c>
      <c r="I11" s="5" t="s">
        <v>239</v>
      </c>
      <c r="J11" s="8" t="s">
        <v>53</v>
      </c>
      <c r="K11" s="9" t="s">
        <v>215</v>
      </c>
      <c r="L11" s="10"/>
      <c r="M11" s="10"/>
      <c r="N11" s="5" t="s">
        <v>219</v>
      </c>
      <c r="P11" s="5" t="s">
        <v>55</v>
      </c>
      <c r="Q11" s="5">
        <v>70</v>
      </c>
      <c r="R11" s="5">
        <v>12</v>
      </c>
      <c r="S11" s="5">
        <f>Q11</f>
        <v>70</v>
      </c>
      <c r="T11" s="5">
        <f>$Q11-$R11*1</f>
        <v>58</v>
      </c>
      <c r="U11" s="5">
        <f>$Q11-$R11*2</f>
        <v>46</v>
      </c>
      <c r="V11" s="5">
        <f>$Q11-$R11*3</f>
        <v>34</v>
      </c>
      <c r="W11" s="5">
        <f>$Q11-$R11*4</f>
        <v>22</v>
      </c>
    </row>
    <row r="12" spans="1:23" x14ac:dyDescent="0.25">
      <c r="A12" s="20" t="s">
        <v>406</v>
      </c>
      <c r="B12" s="20" t="s">
        <v>76</v>
      </c>
      <c r="C12" s="20" t="s">
        <v>67</v>
      </c>
      <c r="D12" s="20">
        <v>80</v>
      </c>
      <c r="E12" s="20"/>
      <c r="F12" s="20">
        <v>-10</v>
      </c>
      <c r="G12" s="20">
        <v>3</v>
      </c>
      <c r="H12" s="20" t="s">
        <v>407</v>
      </c>
      <c r="I12" s="5" t="s">
        <v>239</v>
      </c>
      <c r="J12" s="5" t="s">
        <v>238</v>
      </c>
      <c r="K12" s="9" t="s">
        <v>217</v>
      </c>
      <c r="L12" s="10"/>
      <c r="M12" s="10"/>
      <c r="N12" s="5" t="s">
        <v>56</v>
      </c>
    </row>
    <row r="13" spans="1:23" x14ac:dyDescent="0.25">
      <c r="A13" s="20" t="s">
        <v>403</v>
      </c>
      <c r="B13" s="20" t="s">
        <v>76</v>
      </c>
      <c r="C13" s="20" t="s">
        <v>67</v>
      </c>
      <c r="D13" s="20">
        <v>80</v>
      </c>
      <c r="E13" s="20"/>
      <c r="F13" s="20">
        <v>-10</v>
      </c>
      <c r="G13" s="20">
        <v>3</v>
      </c>
      <c r="H13" s="20" t="s">
        <v>78</v>
      </c>
      <c r="I13" s="5" t="s">
        <v>239</v>
      </c>
      <c r="J13" s="5" t="s">
        <v>404</v>
      </c>
      <c r="K13" s="5" t="s">
        <v>216</v>
      </c>
      <c r="N13" s="5" t="s">
        <v>54</v>
      </c>
    </row>
    <row r="14" spans="1:23" x14ac:dyDescent="0.25">
      <c r="A14" s="25"/>
      <c r="B14" s="25"/>
      <c r="C14" s="25"/>
      <c r="D14" s="25"/>
      <c r="E14" s="25"/>
      <c r="F14" s="25"/>
      <c r="G14" s="25"/>
      <c r="H14" s="25"/>
    </row>
    <row r="15" spans="1:23" x14ac:dyDescent="0.25">
      <c r="A15" s="18" t="s">
        <v>165</v>
      </c>
      <c r="B15" s="18" t="s">
        <v>170</v>
      </c>
      <c r="C15" s="18" t="s">
        <v>163</v>
      </c>
      <c r="D15" s="18" t="s">
        <v>164</v>
      </c>
      <c r="E15" s="18" t="s">
        <v>358</v>
      </c>
    </row>
    <row r="16" spans="1:23" x14ac:dyDescent="0.25">
      <c r="A16" s="13" t="s">
        <v>177</v>
      </c>
      <c r="B16" s="13" t="s">
        <v>166</v>
      </c>
      <c r="C16" s="13"/>
      <c r="D16" s="13"/>
      <c r="E16" s="13"/>
    </row>
    <row r="17" spans="1:5" x14ac:dyDescent="0.25">
      <c r="A17" s="13" t="s">
        <v>178</v>
      </c>
      <c r="B17" s="13" t="s">
        <v>167</v>
      </c>
      <c r="C17" s="13"/>
      <c r="D17" s="13"/>
      <c r="E17" s="13"/>
    </row>
    <row r="18" spans="1:5" x14ac:dyDescent="0.25">
      <c r="A18" s="13" t="s">
        <v>179</v>
      </c>
      <c r="B18" s="13" t="s">
        <v>168</v>
      </c>
      <c r="C18" s="13"/>
      <c r="D18" s="13"/>
      <c r="E18" s="13"/>
    </row>
    <row r="20" spans="1:5" x14ac:dyDescent="0.25">
      <c r="A20" s="19" t="s">
        <v>169</v>
      </c>
      <c r="B20" s="19" t="s">
        <v>162</v>
      </c>
      <c r="C20" s="19" t="s">
        <v>171</v>
      </c>
    </row>
    <row r="21" spans="1:5" x14ac:dyDescent="0.25">
      <c r="A21" s="13"/>
      <c r="B21" s="13"/>
      <c r="C21" s="1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E19"/>
  <sheetViews>
    <sheetView zoomScale="85" zoomScaleNormal="85" workbookViewId="0">
      <selection activeCell="F20" sqref="F20"/>
    </sheetView>
  </sheetViews>
  <sheetFormatPr defaultRowHeight="15.75" x14ac:dyDescent="0.25"/>
  <cols>
    <col min="1" max="1" width="11" style="5" customWidth="1"/>
    <col min="2" max="16384" width="9" style="5"/>
  </cols>
  <sheetData>
    <row r="1" spans="1:5" x14ac:dyDescent="0.25">
      <c r="A1" s="5" t="s">
        <v>289</v>
      </c>
    </row>
    <row r="2" spans="1:5" x14ac:dyDescent="0.25">
      <c r="A2" s="5" t="s">
        <v>290</v>
      </c>
    </row>
    <row r="4" spans="1:5" x14ac:dyDescent="0.25">
      <c r="B4" s="5" t="s">
        <v>226</v>
      </c>
      <c r="C4" s="5" t="s">
        <v>253</v>
      </c>
      <c r="D4" s="5" t="s">
        <v>254</v>
      </c>
      <c r="E4" s="5" t="s">
        <v>255</v>
      </c>
    </row>
    <row r="5" spans="1:5" x14ac:dyDescent="0.25">
      <c r="A5" s="5" t="s">
        <v>256</v>
      </c>
      <c r="B5" s="5" t="s">
        <v>257</v>
      </c>
      <c r="C5" s="5" t="s">
        <v>258</v>
      </c>
      <c r="D5" s="5" t="s">
        <v>257</v>
      </c>
      <c r="E5" s="5" t="s">
        <v>258</v>
      </c>
    </row>
    <row r="6" spans="1:5" x14ac:dyDescent="0.25">
      <c r="A6" s="5" t="s">
        <v>259</v>
      </c>
      <c r="B6" s="5" t="s">
        <v>257</v>
      </c>
      <c r="C6" s="5" t="s">
        <v>258</v>
      </c>
      <c r="D6" s="5" t="s">
        <v>257</v>
      </c>
      <c r="E6" s="5" t="s">
        <v>258</v>
      </c>
    </row>
    <row r="7" spans="1:5" x14ac:dyDescent="0.25">
      <c r="A7" s="5" t="s">
        <v>260</v>
      </c>
      <c r="B7" s="5" t="s">
        <v>257</v>
      </c>
      <c r="C7" s="5" t="s">
        <v>258</v>
      </c>
      <c r="D7" s="5" t="s">
        <v>257</v>
      </c>
      <c r="E7" s="5" t="s">
        <v>258</v>
      </c>
    </row>
    <row r="8" spans="1:5" x14ac:dyDescent="0.25">
      <c r="A8" s="5" t="s">
        <v>261</v>
      </c>
      <c r="B8" s="5" t="s">
        <v>257</v>
      </c>
      <c r="C8" s="5" t="s">
        <v>258</v>
      </c>
      <c r="D8" s="5" t="s">
        <v>257</v>
      </c>
      <c r="E8" s="5" t="s">
        <v>258</v>
      </c>
    </row>
    <row r="10" spans="1:5" x14ac:dyDescent="0.25">
      <c r="A10" s="29" t="s">
        <v>262</v>
      </c>
      <c r="B10" s="29" t="s">
        <v>263</v>
      </c>
    </row>
    <row r="11" spans="1:5" x14ac:dyDescent="0.25">
      <c r="A11" s="13" t="s">
        <v>227</v>
      </c>
      <c r="B11" s="13" t="s">
        <v>259</v>
      </c>
    </row>
    <row r="12" spans="1:5" x14ac:dyDescent="0.25">
      <c r="A12" s="13" t="s">
        <v>228</v>
      </c>
      <c r="B12" s="13" t="s">
        <v>248</v>
      </c>
    </row>
    <row r="13" spans="1:5" x14ac:dyDescent="0.25">
      <c r="A13" s="13" t="s">
        <v>222</v>
      </c>
      <c r="B13" s="13" t="s">
        <v>249</v>
      </c>
    </row>
    <row r="14" spans="1:5" x14ac:dyDescent="0.25">
      <c r="A14" s="13" t="s">
        <v>224</v>
      </c>
      <c r="B14" s="13" t="s">
        <v>249</v>
      </c>
    </row>
    <row r="15" spans="1:5" x14ac:dyDescent="0.25">
      <c r="A15" s="13" t="s">
        <v>229</v>
      </c>
      <c r="B15" s="13" t="s">
        <v>250</v>
      </c>
    </row>
    <row r="16" spans="1:5" x14ac:dyDescent="0.25">
      <c r="A16" s="13" t="s">
        <v>230</v>
      </c>
      <c r="B16" s="13" t="s">
        <v>251</v>
      </c>
    </row>
    <row r="17" spans="1:2" x14ac:dyDescent="0.25">
      <c r="A17" s="13" t="s">
        <v>218</v>
      </c>
      <c r="B17" s="13" t="s">
        <v>252</v>
      </c>
    </row>
    <row r="18" spans="1:2" x14ac:dyDescent="0.25">
      <c r="A18" s="13" t="s">
        <v>231</v>
      </c>
      <c r="B18" s="13" t="s">
        <v>252</v>
      </c>
    </row>
    <row r="19" spans="1:2" x14ac:dyDescent="0.25">
      <c r="A19" s="13" t="s">
        <v>232</v>
      </c>
      <c r="B19" s="13" t="s">
        <v>252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B11"/>
  <sheetViews>
    <sheetView zoomScale="85" zoomScaleNormal="85" workbookViewId="0">
      <selection activeCell="F13" sqref="F13"/>
    </sheetView>
  </sheetViews>
  <sheetFormatPr defaultRowHeight="15.75" x14ac:dyDescent="0.25"/>
  <cols>
    <col min="1" max="1" width="9" style="5"/>
    <col min="2" max="2" width="10.875" style="5" bestFit="1" customWidth="1"/>
    <col min="3" max="16384" width="9" style="5"/>
  </cols>
  <sheetData>
    <row r="2" spans="1:2" x14ac:dyDescent="0.25">
      <c r="A2" s="5" t="s">
        <v>385</v>
      </c>
    </row>
    <row r="3" spans="1:2" x14ac:dyDescent="0.25">
      <c r="A3" s="31" t="s">
        <v>278</v>
      </c>
    </row>
    <row r="4" spans="1:2" x14ac:dyDescent="0.25">
      <c r="A4" s="5" t="s">
        <v>386</v>
      </c>
    </row>
    <row r="5" spans="1:2" x14ac:dyDescent="0.25">
      <c r="A5" s="5" t="s">
        <v>388</v>
      </c>
    </row>
    <row r="7" spans="1:2" x14ac:dyDescent="0.25">
      <c r="A7" s="43" t="s">
        <v>391</v>
      </c>
      <c r="B7" s="43" t="s">
        <v>392</v>
      </c>
    </row>
    <row r="8" spans="1:2" x14ac:dyDescent="0.25">
      <c r="A8" s="13" t="s">
        <v>394</v>
      </c>
      <c r="B8" s="13" t="s">
        <v>393</v>
      </c>
    </row>
    <row r="9" spans="1:2" x14ac:dyDescent="0.25">
      <c r="A9" s="13" t="s">
        <v>395</v>
      </c>
      <c r="B9" s="13" t="s">
        <v>396</v>
      </c>
    </row>
    <row r="10" spans="1:2" x14ac:dyDescent="0.25">
      <c r="A10" s="13" t="s">
        <v>397</v>
      </c>
      <c r="B10" s="13" t="s">
        <v>398</v>
      </c>
    </row>
    <row r="11" spans="1:2" x14ac:dyDescent="0.25">
      <c r="A11" s="13" t="s">
        <v>400</v>
      </c>
      <c r="B11" s="13" t="s">
        <v>399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L18" sqref="L18"/>
    </sheetView>
  </sheetViews>
  <sheetFormatPr defaultRowHeight="16.5" x14ac:dyDescent="0.25"/>
  <sheetData/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21"/>
  <sheetViews>
    <sheetView workbookViewId="0">
      <selection activeCell="G19" sqref="G19"/>
    </sheetView>
  </sheetViews>
  <sheetFormatPr defaultRowHeight="16.5" x14ac:dyDescent="0.25"/>
  <sheetData>
    <row r="1" spans="2:11" x14ac:dyDescent="0.25">
      <c r="B1" s="1" t="s">
        <v>20</v>
      </c>
      <c r="D1" s="1" t="s">
        <v>19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2:11" x14ac:dyDescent="0.25">
      <c r="B2" t="s">
        <v>10</v>
      </c>
      <c r="C2">
        <v>100</v>
      </c>
      <c r="D2" t="s">
        <v>6</v>
      </c>
      <c r="E2">
        <v>10</v>
      </c>
    </row>
    <row r="3" spans="2:11" x14ac:dyDescent="0.25">
      <c r="B3" t="s">
        <v>12</v>
      </c>
      <c r="C3">
        <v>0</v>
      </c>
      <c r="D3" t="s">
        <v>18</v>
      </c>
      <c r="E3">
        <v>90</v>
      </c>
    </row>
    <row r="4" spans="2:11" x14ac:dyDescent="0.25">
      <c r="B4" t="s">
        <v>4</v>
      </c>
      <c r="C4">
        <v>0</v>
      </c>
      <c r="D4" t="s">
        <v>7</v>
      </c>
      <c r="E4" t="s">
        <v>23</v>
      </c>
    </row>
    <row r="5" spans="2:11" x14ac:dyDescent="0.25">
      <c r="B5" t="s">
        <v>5</v>
      </c>
      <c r="D5" t="s">
        <v>8</v>
      </c>
      <c r="E5">
        <v>5</v>
      </c>
      <c r="F5" t="s">
        <v>22</v>
      </c>
    </row>
    <row r="6" spans="2:11" x14ac:dyDescent="0.25">
      <c r="B6" t="s">
        <v>2</v>
      </c>
    </row>
    <row r="7" spans="2:11" x14ac:dyDescent="0.25">
      <c r="B7" t="s">
        <v>3</v>
      </c>
      <c r="G7">
        <v>54</v>
      </c>
    </row>
    <row r="8" spans="2:11" x14ac:dyDescent="0.25">
      <c r="B8" t="s">
        <v>9</v>
      </c>
    </row>
    <row r="9" spans="2:11" x14ac:dyDescent="0.25">
      <c r="B9" t="s">
        <v>11</v>
      </c>
    </row>
    <row r="13" spans="2:11" x14ac:dyDescent="0.25">
      <c r="B13" s="1" t="s">
        <v>21</v>
      </c>
      <c r="D13" s="1" t="s">
        <v>19</v>
      </c>
    </row>
    <row r="14" spans="2:11" x14ac:dyDescent="0.25">
      <c r="B14" t="s">
        <v>10</v>
      </c>
      <c r="D14" t="s">
        <v>6</v>
      </c>
    </row>
    <row r="15" spans="2:11" x14ac:dyDescent="0.25">
      <c r="B15" t="s">
        <v>12</v>
      </c>
      <c r="D15" t="s">
        <v>18</v>
      </c>
    </row>
    <row r="16" spans="2:11" x14ac:dyDescent="0.25">
      <c r="B16" t="s">
        <v>4</v>
      </c>
      <c r="D16" t="s">
        <v>7</v>
      </c>
    </row>
    <row r="17" spans="2:4" x14ac:dyDescent="0.25">
      <c r="B17" t="s">
        <v>5</v>
      </c>
      <c r="D17" t="s">
        <v>8</v>
      </c>
    </row>
    <row r="18" spans="2:4" x14ac:dyDescent="0.25">
      <c r="B18" t="s">
        <v>2</v>
      </c>
    </row>
    <row r="19" spans="2:4" x14ac:dyDescent="0.25">
      <c r="B19" t="s">
        <v>3</v>
      </c>
    </row>
    <row r="20" spans="2:4" x14ac:dyDescent="0.25">
      <c r="B20" t="s">
        <v>9</v>
      </c>
    </row>
    <row r="21" spans="2:4" x14ac:dyDescent="0.25">
      <c r="B21" t="s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6</xdr:col>
                    <xdr:colOff>57150</xdr:colOff>
                    <xdr:row>1</xdr:row>
                    <xdr:rowOff>104775</xdr:rowOff>
                  </from>
                  <to>
                    <xdr:col>6</xdr:col>
                    <xdr:colOff>590550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workbookViewId="0">
      <selection activeCell="G17" sqref="G17"/>
    </sheetView>
  </sheetViews>
  <sheetFormatPr defaultRowHeight="16.5" x14ac:dyDescent="0.25"/>
  <cols>
    <col min="7" max="11" width="10.5" bestFit="1" customWidth="1"/>
  </cols>
  <sheetData>
    <row r="1" spans="1:11" x14ac:dyDescent="0.25">
      <c r="A1" s="3" t="s">
        <v>32</v>
      </c>
      <c r="B1" s="3" t="s">
        <v>0</v>
      </c>
      <c r="C1" s="3" t="s">
        <v>2</v>
      </c>
      <c r="D1" s="3" t="s">
        <v>1</v>
      </c>
      <c r="E1" s="3" t="s">
        <v>27</v>
      </c>
      <c r="F1" s="3" t="s">
        <v>33</v>
      </c>
      <c r="G1" s="3" t="s">
        <v>34</v>
      </c>
      <c r="H1" s="3" t="s">
        <v>35</v>
      </c>
      <c r="I1" s="3" t="s">
        <v>36</v>
      </c>
      <c r="J1" s="3" t="s">
        <v>37</v>
      </c>
      <c r="K1" s="3" t="s">
        <v>38</v>
      </c>
    </row>
    <row r="2" spans="1:11" x14ac:dyDescent="0.25">
      <c r="A2" s="2"/>
      <c r="B2" s="2">
        <v>100</v>
      </c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>
      <selection activeCell="H25" sqref="H25"/>
    </sheetView>
  </sheetViews>
  <sheetFormatPr defaultRowHeight="16.5" x14ac:dyDescent="0.25"/>
  <sheetData>
    <row r="1" spans="1:1" x14ac:dyDescent="0.25">
      <c r="A1" s="1" t="s">
        <v>25</v>
      </c>
    </row>
    <row r="2" spans="1:1" x14ac:dyDescent="0.25">
      <c r="A2" t="s">
        <v>24</v>
      </c>
    </row>
    <row r="3" spans="1:1" x14ac:dyDescent="0.25">
      <c r="A3" t="s">
        <v>26</v>
      </c>
    </row>
    <row r="4" spans="1:1" x14ac:dyDescent="0.25">
      <c r="A4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戰鬥系統</vt:lpstr>
      <vt:lpstr>探險</vt:lpstr>
      <vt:lpstr>技能</vt:lpstr>
      <vt:lpstr>角色</vt:lpstr>
      <vt:lpstr>遊戲流程</vt:lpstr>
      <vt:lpstr>建築選項</vt:lpstr>
      <vt:lpstr>營收架構</vt:lpstr>
      <vt:lpstr>裝備</vt:lpstr>
      <vt:lpstr>狩獵知識</vt:lpstr>
      <vt:lpstr>創傷</vt:lpstr>
      <vt:lpstr>UI</vt:lpstr>
      <vt:lpstr>原型</vt:lpstr>
      <vt:lpstr>敵人</vt:lpstr>
      <vt:lpstr>評估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wego_chen</dc:creator>
  <cp:lastModifiedBy>wego</cp:lastModifiedBy>
  <dcterms:created xsi:type="dcterms:W3CDTF">2015-12-14T01:08:13Z</dcterms:created>
  <dcterms:modified xsi:type="dcterms:W3CDTF">2016-08-30T14:55:51Z</dcterms:modified>
</cp:coreProperties>
</file>