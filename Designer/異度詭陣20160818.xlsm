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95" yWindow="240" windowWidth="21315" windowHeight="9270" tabRatio="812" activeTab="7"/>
  </bookViews>
  <sheets>
    <sheet name="戰鬥系統" sheetId="1" r:id="rId1"/>
    <sheet name="探險" sheetId="4" r:id="rId2"/>
    <sheet name="技能" sheetId="8" r:id="rId3"/>
    <sheet name="角色" sheetId="10" r:id="rId4"/>
    <sheet name="遊戲流程" sheetId="11" r:id="rId5"/>
    <sheet name="建築選項" sheetId="17" r:id="rId6"/>
    <sheet name="營收架構" sheetId="12" r:id="rId7"/>
    <sheet name="裝備" sheetId="13" r:id="rId8"/>
    <sheet name="UI" sheetId="15" r:id="rId9"/>
    <sheet name="原型" sheetId="5" r:id="rId10"/>
    <sheet name="敵人" sheetId="18" r:id="rId11"/>
    <sheet name="評估" sheetId="7" r:id="rId12"/>
  </sheets>
  <calcPr calcId="144525"/>
</workbook>
</file>

<file path=xl/calcChain.xml><?xml version="1.0" encoding="utf-8"?>
<calcChain xmlns="http://schemas.openxmlformats.org/spreadsheetml/2006/main">
  <c r="T4" i="13" l="1"/>
  <c r="U4" i="13"/>
  <c r="R8" i="13"/>
  <c r="S8" i="13"/>
  <c r="T8" i="13"/>
  <c r="U8" i="13"/>
  <c r="V8" i="13"/>
  <c r="R9" i="13"/>
  <c r="S9" i="13"/>
  <c r="T9" i="13"/>
  <c r="U9" i="13"/>
  <c r="V9" i="13"/>
  <c r="R10" i="13"/>
  <c r="S10" i="13"/>
  <c r="T10" i="13"/>
  <c r="U10" i="13"/>
  <c r="V10" i="13"/>
</calcChain>
</file>

<file path=xl/sharedStrings.xml><?xml version="1.0" encoding="utf-8"?>
<sst xmlns="http://schemas.openxmlformats.org/spreadsheetml/2006/main" count="423" uniqueCount="295">
  <si>
    <t>生命</t>
    <phoneticPr fontId="1" type="noConversion"/>
  </si>
  <si>
    <t>防禦</t>
    <phoneticPr fontId="1" type="noConversion"/>
  </si>
  <si>
    <t>攻擊</t>
    <phoneticPr fontId="1" type="noConversion"/>
  </si>
  <si>
    <t>命中</t>
    <phoneticPr fontId="1" type="noConversion"/>
  </si>
  <si>
    <t>閃避</t>
    <phoneticPr fontId="1" type="noConversion"/>
  </si>
  <si>
    <t>格檔</t>
    <phoneticPr fontId="1" type="noConversion"/>
  </si>
  <si>
    <t>傷害</t>
    <phoneticPr fontId="1" type="noConversion"/>
  </si>
  <si>
    <t>連擊懲罰</t>
    <phoneticPr fontId="1" type="noConversion"/>
  </si>
  <si>
    <t>特技</t>
    <phoneticPr fontId="1" type="noConversion"/>
  </si>
  <si>
    <t>穿透</t>
    <phoneticPr fontId="1" type="noConversion"/>
  </si>
  <si>
    <t>生命值</t>
    <phoneticPr fontId="1" type="noConversion"/>
  </si>
  <si>
    <t>架勢</t>
    <phoneticPr fontId="1" type="noConversion"/>
  </si>
  <si>
    <t>防禦</t>
    <phoneticPr fontId="1" type="noConversion"/>
  </si>
  <si>
    <t>攻擊1</t>
    <phoneticPr fontId="1" type="noConversion"/>
  </si>
  <si>
    <t>攻擊2</t>
  </si>
  <si>
    <t>攻擊3</t>
  </si>
  <si>
    <t>攻擊4</t>
  </si>
  <si>
    <t>攻擊5</t>
  </si>
  <si>
    <t>命中</t>
    <phoneticPr fontId="1" type="noConversion"/>
  </si>
  <si>
    <t>武器</t>
    <phoneticPr fontId="1" type="noConversion"/>
  </si>
  <si>
    <t>玩家</t>
    <phoneticPr fontId="1" type="noConversion"/>
  </si>
  <si>
    <t>敵人</t>
    <phoneticPr fontId="1" type="noConversion"/>
  </si>
  <si>
    <t>傷害+20</t>
    <phoneticPr fontId="1" type="noConversion"/>
  </si>
  <si>
    <t>命中-10</t>
    <phoneticPr fontId="1" type="noConversion"/>
  </si>
  <si>
    <t>連擊數(武器技能)</t>
    <phoneticPr fontId="1" type="noConversion"/>
  </si>
  <si>
    <t>戰鬥策略因素</t>
    <phoneticPr fontId="1" type="noConversion"/>
  </si>
  <si>
    <t>技能</t>
    <phoneticPr fontId="1" type="noConversion"/>
  </si>
  <si>
    <t>速度</t>
    <phoneticPr fontId="1" type="noConversion"/>
  </si>
  <si>
    <t>武器名稱</t>
  </si>
  <si>
    <t>命中</t>
  </si>
  <si>
    <t>連擊懲罰</t>
  </si>
  <si>
    <t>防禦者攻擊者抉擇</t>
    <phoneticPr fontId="1" type="noConversion"/>
  </si>
  <si>
    <t>名稱</t>
    <phoneticPr fontId="1" type="noConversion"/>
  </si>
  <si>
    <t>攜帶武器</t>
    <phoneticPr fontId="1" type="noConversion"/>
  </si>
  <si>
    <t>連擊權重1</t>
    <phoneticPr fontId="1" type="noConversion"/>
  </si>
  <si>
    <t>連擊權重2</t>
  </si>
  <si>
    <t>連擊權重3</t>
  </si>
  <si>
    <t>連擊權重4</t>
  </si>
  <si>
    <t>連擊權重5</t>
  </si>
  <si>
    <t>10~15</t>
    <phoneticPr fontId="1" type="noConversion"/>
  </si>
  <si>
    <t>連擊2</t>
  </si>
  <si>
    <t>連擊3</t>
  </si>
  <si>
    <t>連擊4</t>
  </si>
  <si>
    <t>連擊5</t>
  </si>
  <si>
    <t>戰鬥系統</t>
    <phoneticPr fontId="1" type="noConversion"/>
  </si>
  <si>
    <t>每次最多可攻擊5次，五次攻擊完後會自動進入防禦狀態</t>
    <phoneticPr fontId="1" type="noConversion"/>
  </si>
  <si>
    <t>每次連續攻擊的下次攻擊會遭受連擊處罰(依各武器而異)，連擊處罰會疊加</t>
    <phoneticPr fontId="1" type="noConversion"/>
  </si>
  <si>
    <t>連續攻擊失敗會換到下一我方待機角色，MISS的角色受到被爆擊機率增加，所有我方角色行動完換敵方回合，敵方同我方回合規則</t>
    <phoneticPr fontId="1" type="noConversion"/>
  </si>
  <si>
    <t>武器有達成一定連擊數後觸發的特殊技能</t>
    <phoneticPr fontId="1" type="noConversion"/>
  </si>
  <si>
    <t>點擊"防禦"時結束該角色行動回合並進入防禦，防禦時獲得閃避加權</t>
    <phoneticPr fontId="1" type="noConversion"/>
  </si>
  <si>
    <t>敵人攻擊機率：防禦狀態角色&gt;攻擊失敗角色</t>
    <phoneticPr fontId="1" type="noConversion"/>
  </si>
  <si>
    <t>每回合只可選擇一項動作執行：逃跑、攻擊、防禦</t>
    <phoneticPr fontId="1" type="noConversion"/>
  </si>
  <si>
    <t>逃跑成功機率=我方速度總和x1.2/(我方速度總和+敵方速度總和)</t>
    <phoneticPr fontId="1" type="noConversion"/>
  </si>
  <si>
    <t>逃跑隨機減少1補給：補血或工具包，若無補給則不扣除</t>
    <phoneticPr fontId="1" type="noConversion"/>
  </si>
  <si>
    <t>巨劍</t>
    <phoneticPr fontId="1" type="noConversion"/>
  </si>
  <si>
    <t>高傷低命中，範圍傷</t>
    <phoneticPr fontId="1" type="noConversion"/>
  </si>
  <si>
    <t>男維京巨人</t>
    <phoneticPr fontId="1" type="noConversion"/>
  </si>
  <si>
    <t>單手</t>
    <phoneticPr fontId="1" type="noConversion"/>
  </si>
  <si>
    <t>巨槌</t>
    <phoneticPr fontId="1" type="noConversion"/>
  </si>
  <si>
    <t>高穿透低命中，減敵防</t>
    <phoneticPr fontId="1" type="noConversion"/>
  </si>
  <si>
    <t>男矮人</t>
    <phoneticPr fontId="1" type="noConversion"/>
  </si>
  <si>
    <t>雙持</t>
    <phoneticPr fontId="1" type="noConversion"/>
  </si>
  <si>
    <t>法杖</t>
    <phoneticPr fontId="1" type="noConversion"/>
  </si>
  <si>
    <t>中穿透中命中，範圍傷</t>
    <phoneticPr fontId="1" type="noConversion"/>
  </si>
  <si>
    <t>女放逐聖職</t>
    <phoneticPr fontId="1" type="noConversion"/>
  </si>
  <si>
    <t>雙手</t>
    <phoneticPr fontId="1" type="noConversion"/>
  </si>
  <si>
    <t>典籍</t>
    <phoneticPr fontId="1" type="noConversion"/>
  </si>
  <si>
    <t>低穿透高命中，控場</t>
    <phoneticPr fontId="1" type="noConversion"/>
  </si>
  <si>
    <t>男死靈法師</t>
    <phoneticPr fontId="1" type="noConversion"/>
  </si>
  <si>
    <t>傷害</t>
    <phoneticPr fontId="1" type="noConversion"/>
  </si>
  <si>
    <t>類型</t>
    <phoneticPr fontId="1" type="noConversion"/>
  </si>
  <si>
    <t>劍盾</t>
    <phoneticPr fontId="1" type="noConversion"/>
  </si>
  <si>
    <t>15~20</t>
    <phoneticPr fontId="1" type="noConversion"/>
  </si>
  <si>
    <t>80</t>
    <phoneticPr fontId="1" type="noConversion"/>
  </si>
  <si>
    <t>刃器</t>
    <phoneticPr fontId="1" type="noConversion"/>
  </si>
  <si>
    <t>-10</t>
    <phoneticPr fontId="1" type="noConversion"/>
  </si>
  <si>
    <t>4</t>
    <phoneticPr fontId="1" type="noConversion"/>
  </si>
  <si>
    <t>2倍傷害</t>
    <phoneticPr fontId="1" type="noConversion"/>
  </si>
  <si>
    <t>槌盾</t>
    <phoneticPr fontId="1" type="noConversion"/>
  </si>
  <si>
    <t>10~15</t>
    <phoneticPr fontId="1" type="noConversion"/>
  </si>
  <si>
    <t>鈍器</t>
    <phoneticPr fontId="1" type="noConversion"/>
  </si>
  <si>
    <t>目標-15%護甲</t>
    <phoneticPr fontId="1" type="noConversion"/>
  </si>
  <si>
    <t>雙持匕首</t>
    <phoneticPr fontId="1" type="noConversion"/>
  </si>
  <si>
    <t>10~20</t>
    <phoneticPr fontId="1" type="noConversion"/>
  </si>
  <si>
    <t>90</t>
    <phoneticPr fontId="1" type="noConversion"/>
  </si>
  <si>
    <t>-8</t>
    <phoneticPr fontId="1" type="noConversion"/>
  </si>
  <si>
    <t>敵方10%流血傷害3回合</t>
    <phoneticPr fontId="1" type="noConversion"/>
  </si>
  <si>
    <t>20~30</t>
    <phoneticPr fontId="1" type="noConversion"/>
  </si>
  <si>
    <t>目標60%機率暈眩一回合</t>
    <phoneticPr fontId="1" type="noConversion"/>
  </si>
  <si>
    <t>魔法</t>
    <phoneticPr fontId="1" type="noConversion"/>
  </si>
  <si>
    <t>3</t>
    <phoneticPr fontId="1" type="noConversion"/>
  </si>
  <si>
    <t>我方角色最少者回復10%血量</t>
    <phoneticPr fontId="1" type="noConversion"/>
  </si>
  <si>
    <t>攻擊所有敵人</t>
    <phoneticPr fontId="1" type="noConversion"/>
  </si>
  <si>
    <t>武器大類</t>
    <phoneticPr fontId="1" type="noConversion"/>
  </si>
  <si>
    <t>特色</t>
    <phoneticPr fontId="1" type="noConversion"/>
  </si>
  <si>
    <t>血量</t>
    <phoneticPr fontId="1" type="noConversion"/>
  </si>
  <si>
    <t>大連擊</t>
    <phoneticPr fontId="1" type="noConversion"/>
  </si>
  <si>
    <t>小連擊</t>
    <phoneticPr fontId="1" type="noConversion"/>
  </si>
  <si>
    <t>武器大傷害</t>
    <phoneticPr fontId="1" type="noConversion"/>
  </si>
  <si>
    <t>武器小傷害</t>
    <phoneticPr fontId="1" type="noConversion"/>
  </si>
  <si>
    <t>劍盾</t>
    <phoneticPr fontId="1" type="noConversion"/>
  </si>
  <si>
    <t>中傷中命中，加防</t>
    <phoneticPr fontId="1" type="noConversion"/>
  </si>
  <si>
    <t>男人類騎士</t>
    <phoneticPr fontId="1" type="noConversion"/>
  </si>
  <si>
    <t>槌盾</t>
    <phoneticPr fontId="1" type="noConversion"/>
  </si>
  <si>
    <t>中穿透中命中，加防</t>
    <phoneticPr fontId="1" type="noConversion"/>
  </si>
  <si>
    <t>女聖騎</t>
    <phoneticPr fontId="1" type="noConversion"/>
  </si>
  <si>
    <t>雙持匕首</t>
    <phoneticPr fontId="1" type="noConversion"/>
  </si>
  <si>
    <t>低傷高命中，流血</t>
    <phoneticPr fontId="1" type="noConversion"/>
  </si>
  <si>
    <t>低傷高命中，高爆</t>
    <phoneticPr fontId="1" type="noConversion"/>
  </si>
  <si>
    <t>基礎命中</t>
    <phoneticPr fontId="1" type="noConversion"/>
  </si>
  <si>
    <t>懲罰</t>
    <phoneticPr fontId="1" type="noConversion"/>
  </si>
  <si>
    <t>連擊1</t>
    <phoneticPr fontId="1" type="noConversion"/>
  </si>
  <si>
    <t>每個樓層由4個空位組成，一個房間可由1~4個空位組成，空位組成越多則可能出現怪物越多</t>
    <phoneticPr fontId="1" type="noConversion"/>
  </si>
  <si>
    <t>每次點擊探險需走完整個樓層，直到該終點前的樓層才可決定離開或繼續</t>
    <phoneticPr fontId="1" type="noConversion"/>
  </si>
  <si>
    <t>每次探險有指定目標層數，達到指定目標後可決定繼續探險或回城</t>
    <phoneticPr fontId="1" type="noConversion"/>
  </si>
  <si>
    <t>若未達成目標便離開地城視為探險失敗，只保留探險過程中獲得的金錢</t>
    <phoneticPr fontId="1" type="noConversion"/>
  </si>
  <si>
    <t>腳色血量歸零時不會馬上死亡，每次根據受到的傷害/總血量%去計算死亡機率</t>
    <phoneticPr fontId="1" type="noConversion"/>
  </si>
  <si>
    <t>地牢畫面</t>
    <phoneticPr fontId="1" type="noConversion"/>
  </si>
  <si>
    <t>角色若於探險中死亡則無法戰鬥，持續至回城，死亡的角色會復活但獲得創傷</t>
    <phoneticPr fontId="1" type="noConversion"/>
  </si>
  <si>
    <t>醫療、工具數目</t>
    <phoneticPr fontId="1" type="noConversion"/>
  </si>
  <si>
    <t>創傷最多會有三個，超過三個後不再增加</t>
    <phoneticPr fontId="1" type="noConversion"/>
  </si>
  <si>
    <t>角色頭像</t>
    <phoneticPr fontId="1" type="noConversion"/>
  </si>
  <si>
    <t>離開按鈕</t>
    <phoneticPr fontId="1" type="noConversion"/>
  </si>
  <si>
    <t>主動技能</t>
    <phoneticPr fontId="1" type="noConversion"/>
  </si>
  <si>
    <t>每個角色天生自帶一個主動技能，技能由角色訓練到一定等級後解鎖，後期可透過技能卷軸學習新技能</t>
    <phoneticPr fontId="1" type="noConversion"/>
  </si>
  <si>
    <t>角色只能攜帶一個主動技能，主動技能可於城鎮進行替換</t>
    <phoneticPr fontId="1" type="noConversion"/>
  </si>
  <si>
    <t>技能施放需要技能點，技能點由角色執行攻擊動作獲得，當達到可施放量時不再累積，可施放時角色血條上方出現技能ICON</t>
    <phoneticPr fontId="1" type="noConversion"/>
  </si>
  <si>
    <t>點擊技能IOCN開啟技能說明欄，點擊確定按鈕進行施放，施放後技能點歸零</t>
    <phoneticPr fontId="1" type="noConversion"/>
  </si>
  <si>
    <t>被動技能</t>
    <phoneticPr fontId="1" type="noConversion"/>
  </si>
  <si>
    <t>每個角色天生自帶一個被動技能，無法更改，等級到達後自動解鎖</t>
    <phoneticPr fontId="1" type="noConversion"/>
  </si>
  <si>
    <t>角色屬性</t>
    <phoneticPr fontId="1" type="noConversion"/>
  </si>
  <si>
    <t>會增加</t>
    <phoneticPr fontId="1" type="noConversion"/>
  </si>
  <si>
    <t>生命</t>
    <phoneticPr fontId="1" type="noConversion"/>
  </si>
  <si>
    <t>決定可承受的傷害值，歸零時死亡</t>
    <phoneticPr fontId="1" type="noConversion"/>
  </si>
  <si>
    <t>攻擊</t>
    <phoneticPr fontId="1" type="noConversion"/>
  </si>
  <si>
    <t>決定造成的傷害</t>
    <phoneticPr fontId="1" type="noConversion"/>
  </si>
  <si>
    <t>防禦</t>
    <phoneticPr fontId="1" type="noConversion"/>
  </si>
  <si>
    <t>決定傷害減免</t>
    <phoneticPr fontId="1" type="noConversion"/>
  </si>
  <si>
    <t>速度</t>
    <phoneticPr fontId="1" type="noConversion"/>
  </si>
  <si>
    <t>決定攻擊優先順序，由全隊加總計算，如與敵人相同則優先玩家方開始攻擊/爆擊機率/閃避加權</t>
    <phoneticPr fontId="1" type="noConversion"/>
  </si>
  <si>
    <t>會變動</t>
    <phoneticPr fontId="1" type="noConversion"/>
  </si>
  <si>
    <t>武器類型</t>
    <phoneticPr fontId="1" type="noConversion"/>
  </si>
  <si>
    <t>決定可使用的武器類型</t>
    <phoneticPr fontId="1" type="noConversion"/>
  </si>
  <si>
    <t>決定角色專屬的特殊被動技能</t>
    <phoneticPr fontId="1" type="noConversion"/>
  </si>
  <si>
    <t>決定攜帶的主動技能</t>
    <phoneticPr fontId="1" type="noConversion"/>
  </si>
  <si>
    <t>裝備屬性</t>
    <phoneticPr fontId="1" type="noConversion"/>
  </si>
  <si>
    <t>被動效果</t>
    <phoneticPr fontId="1" type="noConversion"/>
  </si>
  <si>
    <t>決定裝備攜帶的被動效果</t>
    <phoneticPr fontId="1" type="noConversion"/>
  </si>
  <si>
    <t>武器屬性</t>
    <phoneticPr fontId="1" type="noConversion"/>
  </si>
  <si>
    <t>命中</t>
    <phoneticPr fontId="1" type="noConversion"/>
  </si>
  <si>
    <t>決定基礎命中機率</t>
    <phoneticPr fontId="1" type="noConversion"/>
  </si>
  <si>
    <t>穿透</t>
    <phoneticPr fontId="1" type="noConversion"/>
  </si>
  <si>
    <t>決定防禦減免</t>
    <phoneticPr fontId="1" type="noConversion"/>
  </si>
  <si>
    <t>連擊懲罰</t>
    <phoneticPr fontId="1" type="noConversion"/>
  </si>
  <si>
    <t>決定每次連擊時衰減的命中率</t>
    <phoneticPr fontId="1" type="noConversion"/>
  </si>
  <si>
    <t>特技發動次數</t>
    <phoneticPr fontId="1" type="noConversion"/>
  </si>
  <si>
    <t>決定達到幾連擊後可發動特技</t>
    <phoneticPr fontId="1" type="noConversion"/>
  </si>
  <si>
    <t>特技</t>
    <phoneticPr fontId="1" type="noConversion"/>
  </si>
  <si>
    <t>決定達到幾連擊後可發動的特殊技能</t>
    <phoneticPr fontId="1" type="noConversion"/>
  </si>
  <si>
    <t>技能屬性</t>
    <phoneticPr fontId="1" type="noConversion"/>
  </si>
  <si>
    <t>技能效果</t>
    <phoneticPr fontId="1" type="noConversion"/>
  </si>
  <si>
    <t>決定技能施放的效果</t>
    <phoneticPr fontId="1" type="noConversion"/>
  </si>
  <si>
    <t>士氣消耗</t>
    <phoneticPr fontId="1" type="noConversion"/>
  </si>
  <si>
    <t>決定技能消耗的士氣量</t>
    <phoneticPr fontId="1" type="noConversion"/>
  </si>
  <si>
    <t>強化</t>
    <phoneticPr fontId="1" type="noConversion"/>
  </si>
  <si>
    <t>雇用新角色</t>
    <phoneticPr fontId="1" type="noConversion"/>
  </si>
  <si>
    <t>至酒館雇用新角色</t>
    <phoneticPr fontId="1" type="noConversion"/>
  </si>
  <si>
    <t>金幣</t>
    <phoneticPr fontId="1" type="noConversion"/>
  </si>
  <si>
    <t>酒館</t>
    <phoneticPr fontId="1" type="noConversion"/>
  </si>
  <si>
    <t>人物總覽</t>
    <phoneticPr fontId="1" type="noConversion"/>
  </si>
  <si>
    <t>人物資訊</t>
    <phoneticPr fontId="1" type="noConversion"/>
  </si>
  <si>
    <t>強化角色</t>
    <phoneticPr fontId="1" type="noConversion"/>
  </si>
  <si>
    <t>使用金幣升級</t>
    <phoneticPr fontId="1" type="noConversion"/>
  </si>
  <si>
    <t>魔晶</t>
    <phoneticPr fontId="1" type="noConversion"/>
  </si>
  <si>
    <t>解鎖畫面</t>
    <phoneticPr fontId="1" type="noConversion"/>
  </si>
  <si>
    <t>更換裝備、技能</t>
    <phoneticPr fontId="1" type="noConversion"/>
  </si>
  <si>
    <t>榮譽</t>
    <phoneticPr fontId="1" type="noConversion"/>
  </si>
  <si>
    <t>醫院</t>
    <phoneticPr fontId="1" type="noConversion"/>
  </si>
  <si>
    <t>醫院介面</t>
    <phoneticPr fontId="1" type="noConversion"/>
  </si>
  <si>
    <t>人物總覽</t>
    <phoneticPr fontId="1" type="noConversion"/>
  </si>
  <si>
    <t>治療創傷</t>
    <phoneticPr fontId="1" type="noConversion"/>
  </si>
  <si>
    <t>可用魔晶加速</t>
    <phoneticPr fontId="1" type="noConversion"/>
  </si>
  <si>
    <t>訓練場</t>
    <phoneticPr fontId="1" type="noConversion"/>
  </si>
  <si>
    <t>技能總覽</t>
    <phoneticPr fontId="1" type="noConversion"/>
  </si>
  <si>
    <t>升級道具</t>
    <phoneticPr fontId="1" type="noConversion"/>
  </si>
  <si>
    <t>使用榮譽增加醫療包增加量、攜帶數；增加開鎖道具成功率、攜帶數</t>
    <phoneticPr fontId="1" type="noConversion"/>
  </si>
  <si>
    <t>鐵匠鋪</t>
    <phoneticPr fontId="1" type="noConversion"/>
  </si>
  <si>
    <t>買/賣介面</t>
    <phoneticPr fontId="1" type="noConversion"/>
  </si>
  <si>
    <t>物品總覽</t>
    <phoneticPr fontId="1" type="noConversion"/>
  </si>
  <si>
    <t>物品資訊</t>
    <phoneticPr fontId="1" type="noConversion"/>
  </si>
  <si>
    <t>公會</t>
    <phoneticPr fontId="1" type="noConversion"/>
  </si>
  <si>
    <t>升級介面</t>
    <phoneticPr fontId="1" type="noConversion"/>
  </si>
  <si>
    <t>確定視窗</t>
    <phoneticPr fontId="1" type="noConversion"/>
  </si>
  <si>
    <t>升級設施</t>
    <phoneticPr fontId="1" type="noConversion"/>
  </si>
  <si>
    <t>地城</t>
    <phoneticPr fontId="1" type="noConversion"/>
  </si>
  <si>
    <t>購買介面</t>
    <phoneticPr fontId="1" type="noConversion"/>
  </si>
  <si>
    <t>選層介面</t>
    <phoneticPr fontId="1" type="noConversion"/>
  </si>
  <si>
    <t>醫院</t>
    <phoneticPr fontId="1" type="noConversion"/>
  </si>
  <si>
    <t>治療角色創傷，升級增加同時治療角色數目</t>
    <phoneticPr fontId="1" type="noConversion"/>
  </si>
  <si>
    <t>訓練場</t>
    <phoneticPr fontId="1" type="noConversion"/>
  </si>
  <si>
    <t>可替換角色攜帶技能</t>
    <phoneticPr fontId="1" type="noConversion"/>
  </si>
  <si>
    <t>鐵匠鋪</t>
    <phoneticPr fontId="1" type="noConversion"/>
  </si>
  <si>
    <t>購賣、販賣武器，隨機販賣可用魔晶購買的稀有武器</t>
    <phoneticPr fontId="1" type="noConversion"/>
  </si>
  <si>
    <t>公會</t>
    <phoneticPr fontId="1" type="noConversion"/>
  </si>
  <si>
    <t>使用榮譽提高醫療包品質、攜帶上限；工具包品質、攜帶上限</t>
    <phoneticPr fontId="1" type="noConversion"/>
  </si>
  <si>
    <t>進入準備</t>
    <phoneticPr fontId="1" type="noConversion"/>
  </si>
  <si>
    <t>購買醫療包</t>
    <phoneticPr fontId="1" type="noConversion"/>
  </si>
  <si>
    <t>使用金幣用於治療角色</t>
    <phoneticPr fontId="1" type="noConversion"/>
  </si>
  <si>
    <t>購買工具包</t>
    <phoneticPr fontId="1" type="noConversion"/>
  </si>
  <si>
    <t>使用金幣用於開鎖</t>
    <phoneticPr fontId="1" type="noConversion"/>
  </si>
  <si>
    <t>購買祝福</t>
    <phoneticPr fontId="1" type="noConversion"/>
  </si>
  <si>
    <t>使用金幣提升掉寶率</t>
    <phoneticPr fontId="1" type="noConversion"/>
  </si>
  <si>
    <t>購買保險</t>
    <phoneticPr fontId="1" type="noConversion"/>
  </si>
  <si>
    <t>使用魔晶購買死亡獲得物品不會遺失</t>
    <phoneticPr fontId="1" type="noConversion"/>
  </si>
  <si>
    <t>地城探險</t>
    <phoneticPr fontId="1" type="noConversion"/>
  </si>
  <si>
    <t>獲得金錢、裝備、主動技能、少量魔晶</t>
    <phoneticPr fontId="1" type="noConversion"/>
  </si>
  <si>
    <t>通關獲得榮譽</t>
    <phoneticPr fontId="1" type="noConversion"/>
  </si>
  <si>
    <t>死亡時探險過程除金錢外獲得的物品皆會遺失，除非使用救命保險</t>
    <phoneticPr fontId="1" type="noConversion"/>
  </si>
  <si>
    <t>死亡角色會得到創傷，需於醫院耗費時間治療，可用魔晶加速</t>
    <phoneticPr fontId="1" type="noConversion"/>
  </si>
  <si>
    <t>建築名稱</t>
    <phoneticPr fontId="1" type="noConversion"/>
  </si>
  <si>
    <t>功能</t>
    <phoneticPr fontId="1" type="noConversion"/>
  </si>
  <si>
    <t>升級選項</t>
    <phoneticPr fontId="1" type="noConversion"/>
  </si>
  <si>
    <t>花費</t>
    <phoneticPr fontId="1" type="noConversion"/>
  </si>
  <si>
    <t>耗費時間治療創傷，治療角色無法使用，可使用魔晶加速
根據創傷提高治療時間，2創傷時間*1.2，3創傷時間*1.4</t>
    <phoneticPr fontId="1" type="noConversion"/>
  </si>
  <si>
    <t>增加同時治療欄位
增加同時治療復數創傷機率</t>
    <phoneticPr fontId="1" type="noConversion"/>
  </si>
  <si>
    <t>旅店</t>
    <phoneticPr fontId="1" type="noConversion"/>
  </si>
  <si>
    <t>增加可雇用的角色數量</t>
    <phoneticPr fontId="1" type="noConversion"/>
  </si>
  <si>
    <t>增加雇用角色欄位</t>
    <phoneticPr fontId="1" type="noConversion"/>
  </si>
  <si>
    <t>購賣、販賣武器</t>
    <phoneticPr fontId="1" type="noConversion"/>
  </si>
  <si>
    <t>穩定收入</t>
    <phoneticPr fontId="1" type="noConversion"/>
  </si>
  <si>
    <t>常態性低額度收入</t>
    <phoneticPr fontId="1" type="noConversion"/>
  </si>
  <si>
    <t>觀看廣告獲得金幣、魔晶，使用魔晶快速治療創傷、</t>
    <phoneticPr fontId="1" type="noConversion"/>
  </si>
  <si>
    <t>轉換消費</t>
    <phoneticPr fontId="1" type="noConversion"/>
  </si>
  <si>
    <t>儲值轉換遊戲貨幣</t>
    <phoneticPr fontId="1" type="noConversion"/>
  </si>
  <si>
    <t>購買金幣或魔晶</t>
    <phoneticPr fontId="1" type="noConversion"/>
  </si>
  <si>
    <t>即時消費</t>
    <phoneticPr fontId="1" type="noConversion"/>
  </si>
  <si>
    <t>購買後可立即變強或獲得效果</t>
    <phoneticPr fontId="1" type="noConversion"/>
  </si>
  <si>
    <t>城鎮武器商人隨機販賣魔晶武器、地城中使用魔晶購買必需物品</t>
    <phoneticPr fontId="1" type="noConversion"/>
  </si>
  <si>
    <t>裝備分為三個部位：武器、護甲、飾品</t>
    <phoneticPr fontId="1" type="noConversion"/>
  </si>
  <si>
    <t>類型</t>
    <phoneticPr fontId="1" type="noConversion"/>
  </si>
  <si>
    <t>防禦數值</t>
    <phoneticPr fontId="1" type="noConversion"/>
  </si>
  <si>
    <t>附加能力</t>
    <phoneticPr fontId="1" type="noConversion"/>
  </si>
  <si>
    <t>護甲名稱</t>
    <phoneticPr fontId="1" type="noConversion"/>
  </si>
  <si>
    <t>刃器</t>
    <phoneticPr fontId="1" type="noConversion"/>
  </si>
  <si>
    <t>鈍器</t>
    <phoneticPr fontId="1" type="noConversion"/>
  </si>
  <si>
    <t>魔法</t>
    <phoneticPr fontId="1" type="noConversion"/>
  </si>
  <si>
    <t>飾品名稱</t>
    <phoneticPr fontId="1" type="noConversion"/>
  </si>
  <si>
    <t>防護類型</t>
    <phoneticPr fontId="1" type="noConversion"/>
  </si>
  <si>
    <t>附加效果</t>
    <phoneticPr fontId="1" type="noConversion"/>
  </si>
  <si>
    <t>特技效果</t>
    <phoneticPr fontId="1" type="noConversion"/>
  </si>
  <si>
    <t>觸發數</t>
    <phoneticPr fontId="1" type="noConversion"/>
  </si>
  <si>
    <t>拳刃</t>
    <phoneticPr fontId="1" type="noConversion"/>
  </si>
  <si>
    <t>90</t>
    <phoneticPr fontId="1" type="noConversion"/>
  </si>
  <si>
    <t>-8</t>
    <phoneticPr fontId="1" type="noConversion"/>
  </si>
  <si>
    <t>4</t>
    <phoneticPr fontId="1" type="noConversion"/>
  </si>
  <si>
    <t>鎧甲</t>
    <phoneticPr fontId="1" type="noConversion"/>
  </si>
  <si>
    <t>皮甲</t>
    <phoneticPr fontId="1" type="noConversion"/>
  </si>
  <si>
    <t>布甲</t>
    <phoneticPr fontId="1" type="noConversion"/>
  </si>
  <si>
    <t>探險事件</t>
    <phoneticPr fontId="1" type="noConversion"/>
  </si>
  <si>
    <t>事件敘述</t>
    <phoneticPr fontId="1" type="noConversion"/>
  </si>
  <si>
    <t>選項</t>
    <phoneticPr fontId="1" type="noConversion"/>
  </si>
  <si>
    <t>消耗</t>
    <phoneticPr fontId="1" type="noConversion"/>
  </si>
  <si>
    <t>垂死冒險者</t>
    <phoneticPr fontId="1" type="noConversion"/>
  </si>
  <si>
    <t>救助</t>
    <phoneticPr fontId="1" type="noConversion"/>
  </si>
  <si>
    <t>離開</t>
    <phoneticPr fontId="1" type="noConversion"/>
  </si>
  <si>
    <t>1醫療包</t>
    <phoneticPr fontId="1" type="noConversion"/>
  </si>
  <si>
    <t>裝備or金錢</t>
    <phoneticPr fontId="1" type="noConversion"/>
  </si>
  <si>
    <t>無</t>
    <phoneticPr fontId="1" type="noConversion"/>
  </si>
  <si>
    <t>陷阱寶箱</t>
    <phoneticPr fontId="1" type="noConversion"/>
  </si>
  <si>
    <t>封印寶箱</t>
    <phoneticPr fontId="1" type="noConversion"/>
  </si>
  <si>
    <t>1工具包</t>
    <phoneticPr fontId="1" type="noConversion"/>
  </si>
  <si>
    <t>解除陷阱</t>
    <phoneticPr fontId="1" type="noConversion"/>
  </si>
  <si>
    <t>機率</t>
    <phoneticPr fontId="1" type="noConversion"/>
  </si>
  <si>
    <t>結果</t>
    <phoneticPr fontId="1" type="noConversion"/>
  </si>
  <si>
    <t>裝備</t>
    <phoneticPr fontId="1" type="noConversion"/>
  </si>
  <si>
    <t>解除封印</t>
    <phoneticPr fontId="1" type="noConversion"/>
  </si>
  <si>
    <t>成功100%</t>
    <phoneticPr fontId="1" type="noConversion"/>
  </si>
  <si>
    <t>無</t>
    <phoneticPr fontId="1" type="noConversion"/>
  </si>
  <si>
    <t>隨機1~3個角色減少生命值</t>
    <phoneticPr fontId="1" type="noConversion"/>
  </si>
  <si>
    <t>成功75%</t>
    <phoneticPr fontId="1" type="noConversion"/>
  </si>
  <si>
    <t>失敗25%</t>
    <phoneticPr fontId="1" type="noConversion"/>
  </si>
  <si>
    <t>穿越</t>
    <phoneticPr fontId="1" type="noConversion"/>
  </si>
  <si>
    <t>光明祭壇</t>
    <phoneticPr fontId="1" type="noConversion"/>
  </si>
  <si>
    <t>全角色回復30%血量</t>
    <phoneticPr fontId="1" type="noConversion"/>
  </si>
  <si>
    <t>復活祭壇</t>
    <phoneticPr fontId="1" type="noConversion"/>
  </si>
  <si>
    <t>使用</t>
    <phoneticPr fontId="1" type="noConversion"/>
  </si>
  <si>
    <t>魔晶</t>
    <phoneticPr fontId="1" type="noConversion"/>
  </si>
  <si>
    <t>復活並回復死亡角色至20%生命</t>
    <phoneticPr fontId="1" type="noConversion"/>
  </si>
  <si>
    <t>隨機1~3個角色受到物理傷害</t>
    <phoneticPr fontId="1" type="noConversion"/>
  </si>
  <si>
    <t>物理陷阱</t>
    <phoneticPr fontId="1" type="noConversion"/>
  </si>
  <si>
    <t>魔法陷阱</t>
    <phoneticPr fontId="1" type="noConversion"/>
  </si>
  <si>
    <t>隨機1~3個角色受到魔法傷害</t>
    <phoneticPr fontId="1" type="noConversion"/>
  </si>
  <si>
    <t>血之祭壇</t>
    <phoneticPr fontId="1" type="noConversion"/>
  </si>
  <si>
    <t>隨機1~3個角色受到物理傷害</t>
    <phoneticPr fontId="1" type="noConversion"/>
  </si>
  <si>
    <t>隨機1~3個角色減少5%生命，全角色攻擊增加一場戰鬥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</si>
</sst>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4" borderId="0" xfId="0" applyFont="1" applyFill="1" applyBorder="1">
      <alignment vertical="center"/>
    </xf>
    <xf numFmtId="0" fontId="5" fillId="4" borderId="0" xfId="0" applyFont="1" applyFill="1" applyBorder="1" applyAlignment="1">
      <alignment vertical="center"/>
    </xf>
    <xf numFmtId="49" fontId="5" fillId="0" borderId="0" xfId="0" applyNumberFormat="1" applyFont="1" applyFill="1" applyBorder="1">
      <alignment vertical="center"/>
    </xf>
    <xf numFmtId="49" fontId="5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>
      <alignment vertical="center"/>
    </xf>
    <xf numFmtId="49" fontId="5" fillId="3" borderId="1" xfId="0" applyNumberFormat="1" applyFont="1" applyFill="1" applyBorder="1" applyAlignment="1">
      <alignment vertical="center" wrapText="1"/>
    </xf>
    <xf numFmtId="0" fontId="5" fillId="0" borderId="1" xfId="0" applyFont="1" applyBorder="1">
      <alignment vertical="center"/>
    </xf>
    <xf numFmtId="0" fontId="5" fillId="2" borderId="1" xfId="0" applyFont="1" applyFill="1" applyBorder="1">
      <alignment vertical="center"/>
    </xf>
    <xf numFmtId="0" fontId="5" fillId="2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5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7" borderId="1" xfId="0" applyFont="1" applyFill="1" applyBorder="1">
      <alignment vertical="center"/>
    </xf>
    <xf numFmtId="0" fontId="5" fillId="0" borderId="0" xfId="0" applyFont="1" applyAlignment="1">
      <alignment horizontal="left" vertical="center"/>
    </xf>
    <xf numFmtId="0" fontId="5" fillId="7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1</xdr:row>
      <xdr:rowOff>0</xdr:rowOff>
    </xdr:from>
    <xdr:to>
      <xdr:col>13</xdr:col>
      <xdr:colOff>9525</xdr:colOff>
      <xdr:row>20</xdr:row>
      <xdr:rowOff>104775</xdr:rowOff>
    </xdr:to>
    <xdr:grpSp>
      <xdr:nvGrpSpPr>
        <xdr:cNvPr id="37" name="群組 36"/>
        <xdr:cNvGrpSpPr/>
      </xdr:nvGrpSpPr>
      <xdr:grpSpPr>
        <a:xfrm>
          <a:off x="6438900" y="209550"/>
          <a:ext cx="2486025" cy="4086225"/>
          <a:chOff x="6438900" y="209550"/>
          <a:chExt cx="2486025" cy="4086225"/>
        </a:xfrm>
      </xdr:grpSpPr>
      <xdr:sp macro="" textlink="">
        <xdr:nvSpPr>
          <xdr:cNvPr id="3" name="矩形 2"/>
          <xdr:cNvSpPr/>
        </xdr:nvSpPr>
        <xdr:spPr>
          <a:xfrm>
            <a:off x="6438900" y="209550"/>
            <a:ext cx="2486025" cy="4086225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5" name="矩形 24"/>
          <xdr:cNvSpPr/>
        </xdr:nvSpPr>
        <xdr:spPr>
          <a:xfrm>
            <a:off x="6496050" y="257175"/>
            <a:ext cx="2381250" cy="142875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8" name="矩形 27"/>
          <xdr:cNvSpPr/>
        </xdr:nvSpPr>
        <xdr:spPr>
          <a:xfrm>
            <a:off x="6496050" y="1685925"/>
            <a:ext cx="2381250" cy="142875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0" name="向下箭號 29"/>
          <xdr:cNvSpPr/>
        </xdr:nvSpPr>
        <xdr:spPr>
          <a:xfrm>
            <a:off x="7524750" y="1571625"/>
            <a:ext cx="323850" cy="238125"/>
          </a:xfrm>
          <a:prstGeom prst="downArrow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1" name="圓角矩形 20"/>
          <xdr:cNvSpPr/>
        </xdr:nvSpPr>
        <xdr:spPr>
          <a:xfrm>
            <a:off x="7277100" y="3114674"/>
            <a:ext cx="800100" cy="857251"/>
          </a:xfrm>
          <a:prstGeom prst="round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攻擊</a:t>
            </a:r>
          </a:p>
        </xdr:txBody>
      </xdr:sp>
      <xdr:sp macro="" textlink="">
        <xdr:nvSpPr>
          <xdr:cNvPr id="26" name="圓角矩形 25"/>
          <xdr:cNvSpPr/>
        </xdr:nvSpPr>
        <xdr:spPr>
          <a:xfrm>
            <a:off x="8105775" y="3114674"/>
            <a:ext cx="800100" cy="857251"/>
          </a:xfrm>
          <a:prstGeom prst="round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防禦</a:t>
            </a:r>
          </a:p>
        </xdr:txBody>
      </xdr:sp>
      <xdr:sp macro="" textlink="">
        <xdr:nvSpPr>
          <xdr:cNvPr id="27" name="圓角矩形 26"/>
          <xdr:cNvSpPr/>
        </xdr:nvSpPr>
        <xdr:spPr>
          <a:xfrm>
            <a:off x="6457950" y="3114674"/>
            <a:ext cx="800100" cy="857251"/>
          </a:xfrm>
          <a:prstGeom prst="roundRect">
            <a:avLst/>
          </a:prstGeom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逃跑</a:t>
            </a:r>
          </a:p>
        </xdr:txBody>
      </xdr:sp>
      <xdr:sp macro="" textlink="">
        <xdr:nvSpPr>
          <xdr:cNvPr id="38" name="矩形 37"/>
          <xdr:cNvSpPr/>
        </xdr:nvSpPr>
        <xdr:spPr>
          <a:xfrm>
            <a:off x="6448425" y="3971925"/>
            <a:ext cx="2466975" cy="3048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廣告</a:t>
            </a:r>
          </a:p>
        </xdr:txBody>
      </xdr:sp>
      <xdr:pic>
        <xdr:nvPicPr>
          <xdr:cNvPr id="39" name="圖片 38" descr="100-0-1454981530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6457950" y="371475"/>
            <a:ext cx="1601485" cy="1046105"/>
          </a:xfrm>
          <a:prstGeom prst="rect">
            <a:avLst/>
          </a:prstGeom>
        </xdr:spPr>
      </xdr:pic>
      <xdr:grpSp>
        <xdr:nvGrpSpPr>
          <xdr:cNvPr id="40" name="群組 39"/>
          <xdr:cNvGrpSpPr/>
        </xdr:nvGrpSpPr>
        <xdr:grpSpPr>
          <a:xfrm>
            <a:off x="6591300" y="1438275"/>
            <a:ext cx="1314450" cy="93344"/>
            <a:chOff x="6591300" y="1438275"/>
            <a:chExt cx="1314450" cy="93344"/>
          </a:xfrm>
        </xdr:grpSpPr>
        <xdr:sp macro="" textlink="">
          <xdr:nvSpPr>
            <xdr:cNvPr id="29" name="矩形 28"/>
            <xdr:cNvSpPr/>
          </xdr:nvSpPr>
          <xdr:spPr>
            <a:xfrm>
              <a:off x="65913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31" name="矩形 30"/>
            <xdr:cNvSpPr/>
          </xdr:nvSpPr>
          <xdr:spPr>
            <a:xfrm>
              <a:off x="706755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32" name="矩形 31"/>
            <xdr:cNvSpPr/>
          </xdr:nvSpPr>
          <xdr:spPr>
            <a:xfrm>
              <a:off x="75438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2" name="矩形 41"/>
            <xdr:cNvSpPr/>
          </xdr:nvSpPr>
          <xdr:spPr>
            <a:xfrm>
              <a:off x="65913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3" name="矩形 42"/>
            <xdr:cNvSpPr/>
          </xdr:nvSpPr>
          <xdr:spPr>
            <a:xfrm>
              <a:off x="706755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4" name="矩形 43"/>
            <xdr:cNvSpPr/>
          </xdr:nvSpPr>
          <xdr:spPr>
            <a:xfrm>
              <a:off x="75438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  <xdr:pic>
        <xdr:nvPicPr>
          <xdr:cNvPr id="55" name="圖片 54" descr="100-0-1454981530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 flipH="1">
            <a:off x="7248526" y="1847850"/>
            <a:ext cx="1600199" cy="1046105"/>
          </a:xfrm>
          <a:prstGeom prst="rect">
            <a:avLst/>
          </a:prstGeom>
        </xdr:spPr>
      </xdr:pic>
      <xdr:grpSp>
        <xdr:nvGrpSpPr>
          <xdr:cNvPr id="56" name="群組 55"/>
          <xdr:cNvGrpSpPr/>
        </xdr:nvGrpSpPr>
        <xdr:grpSpPr>
          <a:xfrm>
            <a:off x="7419975" y="2914650"/>
            <a:ext cx="1314450" cy="93344"/>
            <a:chOff x="6591300" y="1438275"/>
            <a:chExt cx="1314450" cy="93344"/>
          </a:xfrm>
        </xdr:grpSpPr>
        <xdr:sp macro="" textlink="">
          <xdr:nvSpPr>
            <xdr:cNvPr id="57" name="矩形 56"/>
            <xdr:cNvSpPr/>
          </xdr:nvSpPr>
          <xdr:spPr>
            <a:xfrm>
              <a:off x="65913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58" name="矩形 57"/>
            <xdr:cNvSpPr/>
          </xdr:nvSpPr>
          <xdr:spPr>
            <a:xfrm>
              <a:off x="706755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59" name="矩形 58"/>
            <xdr:cNvSpPr/>
          </xdr:nvSpPr>
          <xdr:spPr>
            <a:xfrm>
              <a:off x="75438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0" name="矩形 59"/>
            <xdr:cNvSpPr/>
          </xdr:nvSpPr>
          <xdr:spPr>
            <a:xfrm>
              <a:off x="65913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1" name="矩形 60"/>
            <xdr:cNvSpPr/>
          </xdr:nvSpPr>
          <xdr:spPr>
            <a:xfrm>
              <a:off x="706755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2" name="矩形 61"/>
            <xdr:cNvSpPr/>
          </xdr:nvSpPr>
          <xdr:spPr>
            <a:xfrm>
              <a:off x="75438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</xdr:row>
          <xdr:rowOff>104775</xdr:rowOff>
        </xdr:from>
        <xdr:to>
          <xdr:col>6</xdr:col>
          <xdr:colOff>590550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</a:t>
              </a:r>
              <a:r>
                <a:rPr lang="en-US" altLang="zh-TW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zoomScale="85" zoomScaleNormal="85" workbookViewId="0">
      <selection activeCell="H12" sqref="H12"/>
    </sheetView>
  </sheetViews>
  <sheetFormatPr defaultRowHeight="15.75" x14ac:dyDescent="0.25"/>
  <cols>
    <col min="1" max="16384" width="9" style="5"/>
  </cols>
  <sheetData>
    <row r="1" spans="1:1" ht="16.5" x14ac:dyDescent="0.25">
      <c r="A1" s="4" t="s">
        <v>44</v>
      </c>
    </row>
    <row r="2" spans="1:1" x14ac:dyDescent="0.25">
      <c r="A2" s="5" t="s">
        <v>45</v>
      </c>
    </row>
    <row r="3" spans="1:1" x14ac:dyDescent="0.25">
      <c r="A3" s="5" t="s">
        <v>46</v>
      </c>
    </row>
    <row r="4" spans="1:1" x14ac:dyDescent="0.25">
      <c r="A4" s="5" t="s">
        <v>47</v>
      </c>
    </row>
    <row r="5" spans="1:1" x14ac:dyDescent="0.25">
      <c r="A5" s="5" t="s">
        <v>48</v>
      </c>
    </row>
    <row r="6" spans="1:1" x14ac:dyDescent="0.25">
      <c r="A6" s="5" t="s">
        <v>49</v>
      </c>
    </row>
    <row r="8" spans="1:1" x14ac:dyDescent="0.25">
      <c r="A8" s="5" t="s">
        <v>50</v>
      </c>
    </row>
    <row r="10" spans="1:1" x14ac:dyDescent="0.25">
      <c r="A10" s="5" t="s">
        <v>51</v>
      </c>
    </row>
    <row r="11" spans="1:1" x14ac:dyDescent="0.25">
      <c r="A11" s="5" t="s">
        <v>52</v>
      </c>
    </row>
    <row r="12" spans="1:1" x14ac:dyDescent="0.25">
      <c r="A12" s="5" t="s">
        <v>53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8"/>
  <sheetViews>
    <sheetView topLeftCell="A10" zoomScale="85" zoomScaleNormal="85" workbookViewId="0">
      <selection activeCell="C24" sqref="C24"/>
    </sheetView>
  </sheetViews>
  <sheetFormatPr defaultRowHeight="15.75" x14ac:dyDescent="0.25"/>
  <cols>
    <col min="1" max="1" width="11.75" style="27" customWidth="1"/>
    <col min="2" max="4" width="9" style="5"/>
    <col min="5" max="5" width="10.875" style="5" customWidth="1"/>
    <col min="6" max="6" width="33.5" style="5" customWidth="1"/>
    <col min="7" max="16384" width="9" style="5"/>
  </cols>
  <sheetData>
    <row r="1" spans="1:11" x14ac:dyDescent="0.25">
      <c r="A1" s="27" t="s">
        <v>112</v>
      </c>
    </row>
    <row r="2" spans="1:11" x14ac:dyDescent="0.25">
      <c r="A2" s="27" t="s">
        <v>113</v>
      </c>
    </row>
    <row r="3" spans="1:11" x14ac:dyDescent="0.25">
      <c r="A3" s="27" t="s">
        <v>114</v>
      </c>
    </row>
    <row r="4" spans="1:11" x14ac:dyDescent="0.25">
      <c r="A4" s="27" t="s">
        <v>115</v>
      </c>
    </row>
    <row r="5" spans="1:11" x14ac:dyDescent="0.25">
      <c r="A5" s="27" t="s">
        <v>116</v>
      </c>
      <c r="K5" s="5" t="s">
        <v>117</v>
      </c>
    </row>
    <row r="6" spans="1:11" x14ac:dyDescent="0.25">
      <c r="A6" s="27" t="s">
        <v>118</v>
      </c>
      <c r="K6" s="5" t="s">
        <v>119</v>
      </c>
    </row>
    <row r="7" spans="1:11" x14ac:dyDescent="0.25">
      <c r="A7" s="27" t="s">
        <v>120</v>
      </c>
      <c r="K7" s="5" t="s">
        <v>121</v>
      </c>
    </row>
    <row r="8" spans="1:11" x14ac:dyDescent="0.25">
      <c r="K8" s="5" t="s">
        <v>122</v>
      </c>
    </row>
    <row r="9" spans="1:11" x14ac:dyDescent="0.25">
      <c r="A9" s="28" t="s">
        <v>258</v>
      </c>
      <c r="B9" s="26" t="s">
        <v>259</v>
      </c>
      <c r="C9" s="26" t="s">
        <v>260</v>
      </c>
      <c r="D9" s="26" t="s">
        <v>261</v>
      </c>
      <c r="E9" s="26" t="s">
        <v>272</v>
      </c>
      <c r="F9" s="26" t="s">
        <v>273</v>
      </c>
    </row>
    <row r="10" spans="1:11" x14ac:dyDescent="0.25">
      <c r="A10" s="31" t="s">
        <v>262</v>
      </c>
      <c r="B10" s="31"/>
      <c r="C10" s="29" t="s">
        <v>263</v>
      </c>
      <c r="D10" s="29" t="s">
        <v>265</v>
      </c>
      <c r="E10" s="29" t="s">
        <v>276</v>
      </c>
      <c r="F10" s="29" t="s">
        <v>266</v>
      </c>
    </row>
    <row r="11" spans="1:11" x14ac:dyDescent="0.25">
      <c r="A11" s="32"/>
      <c r="B11" s="32"/>
      <c r="C11" s="29" t="s">
        <v>264</v>
      </c>
      <c r="D11" s="29" t="s">
        <v>267</v>
      </c>
      <c r="E11" s="29" t="s">
        <v>267</v>
      </c>
      <c r="F11" s="29" t="s">
        <v>267</v>
      </c>
    </row>
    <row r="12" spans="1:11" x14ac:dyDescent="0.25">
      <c r="A12" s="31" t="s">
        <v>268</v>
      </c>
      <c r="B12" s="31"/>
      <c r="C12" s="31" t="s">
        <v>271</v>
      </c>
      <c r="D12" s="31" t="s">
        <v>270</v>
      </c>
      <c r="E12" s="29" t="s">
        <v>279</v>
      </c>
      <c r="F12" s="29" t="s">
        <v>274</v>
      </c>
    </row>
    <row r="13" spans="1:11" x14ac:dyDescent="0.25">
      <c r="A13" s="33"/>
      <c r="B13" s="33"/>
      <c r="C13" s="32"/>
      <c r="D13" s="32"/>
      <c r="E13" s="29" t="s">
        <v>280</v>
      </c>
      <c r="F13" s="29" t="s">
        <v>278</v>
      </c>
    </row>
    <row r="14" spans="1:11" x14ac:dyDescent="0.25">
      <c r="A14" s="32"/>
      <c r="B14" s="32"/>
      <c r="C14" s="29" t="s">
        <v>264</v>
      </c>
      <c r="D14" s="29" t="s">
        <v>267</v>
      </c>
      <c r="E14" s="29" t="s">
        <v>267</v>
      </c>
      <c r="F14" s="29" t="s">
        <v>267</v>
      </c>
    </row>
    <row r="15" spans="1:11" x14ac:dyDescent="0.25">
      <c r="A15" s="31" t="s">
        <v>269</v>
      </c>
      <c r="B15" s="31"/>
      <c r="C15" s="30" t="s">
        <v>275</v>
      </c>
      <c r="D15" s="30" t="s">
        <v>270</v>
      </c>
      <c r="E15" s="29" t="s">
        <v>276</v>
      </c>
      <c r="F15" s="29" t="s">
        <v>266</v>
      </c>
    </row>
    <row r="16" spans="1:11" x14ac:dyDescent="0.25">
      <c r="A16" s="32"/>
      <c r="B16" s="32"/>
      <c r="C16" s="29" t="s">
        <v>264</v>
      </c>
      <c r="D16" s="29" t="s">
        <v>267</v>
      </c>
      <c r="E16" s="29"/>
      <c r="F16" s="29" t="s">
        <v>267</v>
      </c>
    </row>
    <row r="17" spans="1:6" x14ac:dyDescent="0.25">
      <c r="A17" s="31" t="s">
        <v>289</v>
      </c>
      <c r="B17" s="31"/>
      <c r="C17" s="31" t="s">
        <v>271</v>
      </c>
      <c r="D17" s="31" t="s">
        <v>270</v>
      </c>
      <c r="E17" s="29" t="s">
        <v>279</v>
      </c>
      <c r="F17" s="29" t="s">
        <v>271</v>
      </c>
    </row>
    <row r="18" spans="1:6" x14ac:dyDescent="0.25">
      <c r="A18" s="33"/>
      <c r="B18" s="33"/>
      <c r="C18" s="32"/>
      <c r="D18" s="32"/>
      <c r="E18" s="29" t="s">
        <v>280</v>
      </c>
      <c r="F18" s="29" t="s">
        <v>293</v>
      </c>
    </row>
    <row r="19" spans="1:6" x14ac:dyDescent="0.25">
      <c r="A19" s="32"/>
      <c r="B19" s="32"/>
      <c r="C19" s="29" t="s">
        <v>281</v>
      </c>
      <c r="D19" s="29" t="s">
        <v>267</v>
      </c>
      <c r="E19" s="29" t="s">
        <v>267</v>
      </c>
      <c r="F19" s="29" t="s">
        <v>288</v>
      </c>
    </row>
    <row r="20" spans="1:6" x14ac:dyDescent="0.25">
      <c r="A20" s="31" t="s">
        <v>290</v>
      </c>
      <c r="B20" s="31"/>
      <c r="C20" s="31" t="s">
        <v>271</v>
      </c>
      <c r="D20" s="31" t="s">
        <v>270</v>
      </c>
      <c r="E20" s="29" t="s">
        <v>279</v>
      </c>
      <c r="F20" s="29" t="s">
        <v>271</v>
      </c>
    </row>
    <row r="21" spans="1:6" x14ac:dyDescent="0.25">
      <c r="A21" s="33"/>
      <c r="B21" s="33"/>
      <c r="C21" s="32"/>
      <c r="D21" s="32"/>
      <c r="E21" s="29" t="s">
        <v>280</v>
      </c>
      <c r="F21" s="29" t="s">
        <v>291</v>
      </c>
    </row>
    <row r="22" spans="1:6" x14ac:dyDescent="0.25">
      <c r="A22" s="32"/>
      <c r="B22" s="32"/>
      <c r="C22" s="29" t="s">
        <v>281</v>
      </c>
      <c r="D22" s="29" t="s">
        <v>267</v>
      </c>
      <c r="E22" s="29" t="s">
        <v>267</v>
      </c>
      <c r="F22" s="29" t="s">
        <v>291</v>
      </c>
    </row>
    <row r="23" spans="1:6" x14ac:dyDescent="0.25">
      <c r="A23" s="31" t="s">
        <v>282</v>
      </c>
      <c r="B23" s="31"/>
      <c r="C23" s="30" t="s">
        <v>285</v>
      </c>
      <c r="D23" s="30" t="s">
        <v>277</v>
      </c>
      <c r="E23" s="29" t="s">
        <v>276</v>
      </c>
      <c r="F23" s="29" t="s">
        <v>283</v>
      </c>
    </row>
    <row r="24" spans="1:6" x14ac:dyDescent="0.25">
      <c r="A24" s="32"/>
      <c r="B24" s="32"/>
      <c r="C24" s="29" t="s">
        <v>264</v>
      </c>
      <c r="D24" s="29" t="s">
        <v>267</v>
      </c>
      <c r="E24" s="29" t="s">
        <v>267</v>
      </c>
      <c r="F24" s="29" t="s">
        <v>267</v>
      </c>
    </row>
    <row r="25" spans="1:6" x14ac:dyDescent="0.25">
      <c r="A25" s="31" t="s">
        <v>284</v>
      </c>
      <c r="B25" s="31"/>
      <c r="C25" s="30" t="s">
        <v>285</v>
      </c>
      <c r="D25" s="30" t="s">
        <v>286</v>
      </c>
      <c r="E25" s="29" t="s">
        <v>276</v>
      </c>
      <c r="F25" s="29" t="s">
        <v>287</v>
      </c>
    </row>
    <row r="26" spans="1:6" x14ac:dyDescent="0.25">
      <c r="A26" s="32"/>
      <c r="B26" s="32"/>
      <c r="C26" s="29" t="s">
        <v>264</v>
      </c>
      <c r="D26" s="29" t="s">
        <v>267</v>
      </c>
      <c r="E26" s="29" t="s">
        <v>267</v>
      </c>
      <c r="F26" s="29" t="s">
        <v>267</v>
      </c>
    </row>
    <row r="27" spans="1:6" x14ac:dyDescent="0.25">
      <c r="A27" s="31" t="s">
        <v>292</v>
      </c>
      <c r="B27" s="31"/>
      <c r="C27" s="30" t="s">
        <v>285</v>
      </c>
      <c r="D27" s="30" t="s">
        <v>277</v>
      </c>
      <c r="E27" s="29" t="s">
        <v>276</v>
      </c>
      <c r="F27" s="29" t="s">
        <v>294</v>
      </c>
    </row>
    <row r="28" spans="1:6" x14ac:dyDescent="0.25">
      <c r="A28" s="32"/>
      <c r="B28" s="32"/>
      <c r="C28" s="29" t="s">
        <v>264</v>
      </c>
      <c r="D28" s="29" t="s">
        <v>267</v>
      </c>
      <c r="E28" s="29" t="s">
        <v>267</v>
      </c>
      <c r="F28" s="29" t="s">
        <v>267</v>
      </c>
    </row>
  </sheetData>
  <mergeCells count="22">
    <mergeCell ref="A27:A28"/>
    <mergeCell ref="B27:B28"/>
    <mergeCell ref="A20:A22"/>
    <mergeCell ref="B20:B22"/>
    <mergeCell ref="C20:C21"/>
    <mergeCell ref="A23:A24"/>
    <mergeCell ref="B23:B24"/>
    <mergeCell ref="A25:A26"/>
    <mergeCell ref="B25:B26"/>
    <mergeCell ref="D20:D21"/>
    <mergeCell ref="A17:A19"/>
    <mergeCell ref="B17:B19"/>
    <mergeCell ref="D12:D13"/>
    <mergeCell ref="C12:C13"/>
    <mergeCell ref="C17:C18"/>
    <mergeCell ref="D17:D18"/>
    <mergeCell ref="A10:A11"/>
    <mergeCell ref="B10:B11"/>
    <mergeCell ref="B12:B14"/>
    <mergeCell ref="A12:A14"/>
    <mergeCell ref="A15:A16"/>
    <mergeCell ref="B15:B1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8"/>
  <sheetViews>
    <sheetView zoomScale="85" zoomScaleNormal="85" workbookViewId="0">
      <selection activeCell="H37" sqref="H37"/>
    </sheetView>
  </sheetViews>
  <sheetFormatPr defaultRowHeight="15.75" x14ac:dyDescent="0.25"/>
  <cols>
    <col min="1" max="16384" width="9" style="5"/>
  </cols>
  <sheetData>
    <row r="1" spans="1:1" ht="16.5" x14ac:dyDescent="0.25">
      <c r="A1" s="4" t="s">
        <v>123</v>
      </c>
    </row>
    <row r="2" spans="1:1" x14ac:dyDescent="0.25">
      <c r="A2" s="5" t="s">
        <v>124</v>
      </c>
    </row>
    <row r="3" spans="1:1" x14ac:dyDescent="0.25">
      <c r="A3" s="5" t="s">
        <v>125</v>
      </c>
    </row>
    <row r="4" spans="1:1" x14ac:dyDescent="0.25">
      <c r="A4" s="5" t="s">
        <v>126</v>
      </c>
    </row>
    <row r="5" spans="1:1" x14ac:dyDescent="0.25">
      <c r="A5" s="5" t="s">
        <v>127</v>
      </c>
    </row>
    <row r="7" spans="1:1" ht="16.5" x14ac:dyDescent="0.25">
      <c r="A7" s="4" t="s">
        <v>128</v>
      </c>
    </row>
    <row r="8" spans="1:1" x14ac:dyDescent="0.25">
      <c r="A8" s="5" t="s">
        <v>129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7"/>
  <sheetViews>
    <sheetView zoomScale="85" zoomScaleNormal="85" workbookViewId="0">
      <selection sqref="A1:XFD1048576"/>
    </sheetView>
  </sheetViews>
  <sheetFormatPr defaultRowHeight="15.75" x14ac:dyDescent="0.25"/>
  <cols>
    <col min="1" max="1" width="9" style="5"/>
    <col min="2" max="2" width="12.75" style="5" customWidth="1"/>
    <col min="3" max="16384" width="9" style="5"/>
  </cols>
  <sheetData>
    <row r="1" spans="1:3" ht="16.5" x14ac:dyDescent="0.25">
      <c r="B1" s="4" t="s">
        <v>130</v>
      </c>
    </row>
    <row r="2" spans="1:3" x14ac:dyDescent="0.25">
      <c r="A2" s="5" t="s">
        <v>131</v>
      </c>
      <c r="B2" s="5" t="s">
        <v>132</v>
      </c>
      <c r="C2" s="5" t="s">
        <v>133</v>
      </c>
    </row>
    <row r="3" spans="1:3" x14ac:dyDescent="0.25">
      <c r="A3" s="5" t="s">
        <v>131</v>
      </c>
      <c r="B3" s="5" t="s">
        <v>134</v>
      </c>
      <c r="C3" s="5" t="s">
        <v>135</v>
      </c>
    </row>
    <row r="4" spans="1:3" x14ac:dyDescent="0.25">
      <c r="A4" s="5" t="s">
        <v>131</v>
      </c>
      <c r="B4" s="5" t="s">
        <v>136</v>
      </c>
      <c r="C4" s="5" t="s">
        <v>137</v>
      </c>
    </row>
    <row r="5" spans="1:3" x14ac:dyDescent="0.25">
      <c r="A5" s="5" t="s">
        <v>131</v>
      </c>
      <c r="B5" s="5" t="s">
        <v>138</v>
      </c>
      <c r="C5" s="5" t="s">
        <v>139</v>
      </c>
    </row>
    <row r="6" spans="1:3" x14ac:dyDescent="0.25">
      <c r="A6" s="5" t="s">
        <v>140</v>
      </c>
      <c r="B6" s="5" t="s">
        <v>141</v>
      </c>
      <c r="C6" s="5" t="s">
        <v>142</v>
      </c>
    </row>
    <row r="7" spans="1:3" x14ac:dyDescent="0.25">
      <c r="A7" s="5" t="s">
        <v>140</v>
      </c>
      <c r="B7" s="5" t="s">
        <v>128</v>
      </c>
      <c r="C7" s="5" t="s">
        <v>143</v>
      </c>
    </row>
    <row r="8" spans="1:3" x14ac:dyDescent="0.25">
      <c r="A8" s="5" t="s">
        <v>140</v>
      </c>
      <c r="B8" s="5" t="s">
        <v>123</v>
      </c>
      <c r="C8" s="5" t="s">
        <v>144</v>
      </c>
    </row>
    <row r="10" spans="1:3" ht="16.5" x14ac:dyDescent="0.25">
      <c r="B10" s="4" t="s">
        <v>145</v>
      </c>
    </row>
    <row r="11" spans="1:3" x14ac:dyDescent="0.25">
      <c r="A11" s="5" t="s">
        <v>131</v>
      </c>
      <c r="B11" s="5" t="s">
        <v>132</v>
      </c>
      <c r="C11" s="5" t="s">
        <v>133</v>
      </c>
    </row>
    <row r="12" spans="1:3" x14ac:dyDescent="0.25">
      <c r="A12" s="5" t="s">
        <v>131</v>
      </c>
      <c r="B12" s="5" t="s">
        <v>134</v>
      </c>
      <c r="C12" s="5" t="s">
        <v>135</v>
      </c>
    </row>
    <row r="13" spans="1:3" x14ac:dyDescent="0.25">
      <c r="A13" s="5" t="s">
        <v>131</v>
      </c>
      <c r="B13" s="5" t="s">
        <v>136</v>
      </c>
      <c r="C13" s="5" t="s">
        <v>137</v>
      </c>
    </row>
    <row r="14" spans="1:3" x14ac:dyDescent="0.25">
      <c r="A14" s="5" t="s">
        <v>131</v>
      </c>
      <c r="B14" s="5" t="s">
        <v>138</v>
      </c>
      <c r="C14" s="5" t="s">
        <v>139</v>
      </c>
    </row>
    <row r="15" spans="1:3" x14ac:dyDescent="0.25">
      <c r="A15" s="5" t="s">
        <v>140</v>
      </c>
      <c r="B15" s="5" t="s">
        <v>146</v>
      </c>
      <c r="C15" s="5" t="s">
        <v>147</v>
      </c>
    </row>
    <row r="17" spans="1:3" ht="16.5" x14ac:dyDescent="0.25">
      <c r="B17" s="4" t="s">
        <v>148</v>
      </c>
    </row>
    <row r="18" spans="1:3" x14ac:dyDescent="0.25">
      <c r="A18" s="5" t="s">
        <v>131</v>
      </c>
      <c r="B18" s="5" t="s">
        <v>134</v>
      </c>
      <c r="C18" s="5" t="s">
        <v>135</v>
      </c>
    </row>
    <row r="19" spans="1:3" x14ac:dyDescent="0.25">
      <c r="A19" s="5" t="s">
        <v>140</v>
      </c>
      <c r="B19" s="5" t="s">
        <v>149</v>
      </c>
      <c r="C19" s="5" t="s">
        <v>150</v>
      </c>
    </row>
    <row r="20" spans="1:3" x14ac:dyDescent="0.25">
      <c r="A20" s="5" t="s">
        <v>140</v>
      </c>
      <c r="B20" s="5" t="s">
        <v>151</v>
      </c>
      <c r="C20" s="5" t="s">
        <v>152</v>
      </c>
    </row>
    <row r="21" spans="1:3" x14ac:dyDescent="0.25">
      <c r="A21" s="5" t="s">
        <v>140</v>
      </c>
      <c r="B21" s="5" t="s">
        <v>153</v>
      </c>
      <c r="C21" s="5" t="s">
        <v>154</v>
      </c>
    </row>
    <row r="22" spans="1:3" x14ac:dyDescent="0.25">
      <c r="A22" s="5" t="s">
        <v>140</v>
      </c>
      <c r="B22" s="5" t="s">
        <v>155</v>
      </c>
      <c r="C22" s="5" t="s">
        <v>156</v>
      </c>
    </row>
    <row r="23" spans="1:3" x14ac:dyDescent="0.25">
      <c r="A23" s="5" t="s">
        <v>140</v>
      </c>
      <c r="B23" s="5" t="s">
        <v>157</v>
      </c>
      <c r="C23" s="5" t="s">
        <v>158</v>
      </c>
    </row>
    <row r="25" spans="1:3" ht="16.5" x14ac:dyDescent="0.25">
      <c r="B25" s="4" t="s">
        <v>159</v>
      </c>
    </row>
    <row r="26" spans="1:3" x14ac:dyDescent="0.25">
      <c r="A26" s="5" t="s">
        <v>140</v>
      </c>
      <c r="B26" s="5" t="s">
        <v>160</v>
      </c>
      <c r="C26" s="5" t="s">
        <v>161</v>
      </c>
    </row>
    <row r="27" spans="1:3" x14ac:dyDescent="0.25">
      <c r="A27" s="5" t="s">
        <v>140</v>
      </c>
      <c r="B27" s="5" t="s">
        <v>162</v>
      </c>
      <c r="C27" s="5" t="s">
        <v>163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Q26"/>
  <sheetViews>
    <sheetView zoomScale="85" zoomScaleNormal="85" workbookViewId="0">
      <selection activeCell="L18" sqref="L18"/>
    </sheetView>
  </sheetViews>
  <sheetFormatPr defaultRowHeight="15.75" x14ac:dyDescent="0.25"/>
  <cols>
    <col min="1" max="1" width="9" style="5"/>
    <col min="2" max="2" width="11.625" style="5" bestFit="1" customWidth="1"/>
    <col min="3" max="16384" width="9" style="5"/>
  </cols>
  <sheetData>
    <row r="1" spans="2:17" ht="16.5" x14ac:dyDescent="0.25">
      <c r="B1" s="4" t="s">
        <v>164</v>
      </c>
    </row>
    <row r="2" spans="2:17" x14ac:dyDescent="0.25">
      <c r="B2" s="5" t="s">
        <v>165</v>
      </c>
      <c r="C2" s="5" t="s">
        <v>166</v>
      </c>
      <c r="H2" s="5" t="s">
        <v>167</v>
      </c>
      <c r="L2" s="5" t="s">
        <v>168</v>
      </c>
      <c r="M2" s="5" t="s">
        <v>169</v>
      </c>
      <c r="N2" s="5" t="s">
        <v>170</v>
      </c>
      <c r="Q2" s="5" t="s">
        <v>169</v>
      </c>
    </row>
    <row r="3" spans="2:17" x14ac:dyDescent="0.25">
      <c r="B3" s="5" t="s">
        <v>171</v>
      </c>
      <c r="C3" s="5" t="s">
        <v>172</v>
      </c>
      <c r="H3" s="5" t="s">
        <v>173</v>
      </c>
      <c r="N3" s="5" t="s">
        <v>174</v>
      </c>
      <c r="Q3" s="5" t="s">
        <v>170</v>
      </c>
    </row>
    <row r="4" spans="2:17" x14ac:dyDescent="0.25">
      <c r="B4" s="5" t="s">
        <v>175</v>
      </c>
      <c r="H4" s="5" t="s">
        <v>176</v>
      </c>
      <c r="L4" s="5" t="s">
        <v>177</v>
      </c>
      <c r="M4" s="5" t="s">
        <v>178</v>
      </c>
      <c r="N4" s="5" t="s">
        <v>179</v>
      </c>
      <c r="Q4" s="5" t="s">
        <v>174</v>
      </c>
    </row>
    <row r="5" spans="2:17" x14ac:dyDescent="0.25">
      <c r="B5" s="5" t="s">
        <v>180</v>
      </c>
      <c r="C5" s="5" t="s">
        <v>181</v>
      </c>
      <c r="L5" s="5" t="s">
        <v>182</v>
      </c>
      <c r="M5" s="5" t="s">
        <v>179</v>
      </c>
      <c r="O5" s="5" t="s">
        <v>183</v>
      </c>
      <c r="Q5" s="5" t="s">
        <v>178</v>
      </c>
    </row>
    <row r="6" spans="2:17" x14ac:dyDescent="0.25">
      <c r="B6" s="5" t="s">
        <v>184</v>
      </c>
      <c r="C6" s="5" t="s">
        <v>185</v>
      </c>
      <c r="L6" s="5" t="s">
        <v>186</v>
      </c>
      <c r="M6" s="5" t="s">
        <v>187</v>
      </c>
      <c r="N6" s="5" t="s">
        <v>188</v>
      </c>
      <c r="O6" s="5" t="s">
        <v>189</v>
      </c>
      <c r="Q6" s="5" t="s">
        <v>187</v>
      </c>
    </row>
    <row r="7" spans="2:17" x14ac:dyDescent="0.25">
      <c r="L7" s="5" t="s">
        <v>190</v>
      </c>
      <c r="M7" s="5" t="s">
        <v>191</v>
      </c>
      <c r="N7" s="5" t="s">
        <v>192</v>
      </c>
      <c r="Q7" s="5" t="s">
        <v>188</v>
      </c>
    </row>
    <row r="8" spans="2:17" ht="16.5" x14ac:dyDescent="0.25">
      <c r="B8" s="4" t="s">
        <v>193</v>
      </c>
      <c r="L8" s="5" t="s">
        <v>194</v>
      </c>
      <c r="M8" s="5" t="s">
        <v>195</v>
      </c>
      <c r="N8" s="5" t="s">
        <v>196</v>
      </c>
      <c r="Q8" s="5" t="s">
        <v>189</v>
      </c>
    </row>
    <row r="9" spans="2:17" x14ac:dyDescent="0.25">
      <c r="B9" s="5" t="s">
        <v>168</v>
      </c>
      <c r="C9" s="5" t="s">
        <v>165</v>
      </c>
      <c r="Q9" s="5" t="s">
        <v>191</v>
      </c>
    </row>
    <row r="10" spans="2:17" x14ac:dyDescent="0.25">
      <c r="B10" s="5" t="s">
        <v>197</v>
      </c>
      <c r="C10" s="5" t="s">
        <v>198</v>
      </c>
      <c r="Q10" s="5" t="s">
        <v>192</v>
      </c>
    </row>
    <row r="11" spans="2:17" x14ac:dyDescent="0.25">
      <c r="B11" s="5" t="s">
        <v>199</v>
      </c>
      <c r="C11" s="5" t="s">
        <v>200</v>
      </c>
      <c r="Q11" s="5" t="s">
        <v>195</v>
      </c>
    </row>
    <row r="12" spans="2:17" x14ac:dyDescent="0.25">
      <c r="B12" s="5" t="s">
        <v>201</v>
      </c>
      <c r="C12" s="5" t="s">
        <v>202</v>
      </c>
      <c r="Q12" s="5" t="s">
        <v>196</v>
      </c>
    </row>
    <row r="13" spans="2:17" x14ac:dyDescent="0.25">
      <c r="B13" s="5" t="s">
        <v>203</v>
      </c>
      <c r="C13" s="5" t="s">
        <v>204</v>
      </c>
    </row>
    <row r="15" spans="2:17" ht="16.5" x14ac:dyDescent="0.25">
      <c r="B15" s="4" t="s">
        <v>205</v>
      </c>
    </row>
    <row r="16" spans="2:17" x14ac:dyDescent="0.25">
      <c r="B16" s="5" t="s">
        <v>206</v>
      </c>
      <c r="C16" s="5" t="s">
        <v>207</v>
      </c>
    </row>
    <row r="17" spans="2:3" x14ac:dyDescent="0.25">
      <c r="B17" s="5" t="s">
        <v>208</v>
      </c>
      <c r="C17" s="5" t="s">
        <v>209</v>
      </c>
    </row>
    <row r="18" spans="2:3" x14ac:dyDescent="0.25">
      <c r="B18" s="5" t="s">
        <v>210</v>
      </c>
      <c r="C18" s="5" t="s">
        <v>211</v>
      </c>
    </row>
    <row r="19" spans="2:3" x14ac:dyDescent="0.25">
      <c r="B19" s="5" t="s">
        <v>212</v>
      </c>
      <c r="C19" s="5" t="s">
        <v>213</v>
      </c>
    </row>
    <row r="21" spans="2:3" ht="16.5" x14ac:dyDescent="0.25">
      <c r="B21" s="4" t="s">
        <v>214</v>
      </c>
    </row>
    <row r="22" spans="2:3" x14ac:dyDescent="0.25">
      <c r="B22" s="5" t="s">
        <v>215</v>
      </c>
    </row>
    <row r="23" spans="2:3" x14ac:dyDescent="0.25">
      <c r="B23" s="5" t="s">
        <v>216</v>
      </c>
    </row>
    <row r="25" spans="2:3" x14ac:dyDescent="0.25">
      <c r="B25" s="5" t="s">
        <v>217</v>
      </c>
    </row>
    <row r="26" spans="2:3" x14ac:dyDescent="0.25">
      <c r="B26" s="5" t="s">
        <v>218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zoomScale="85" zoomScaleNormal="85" workbookViewId="0">
      <selection activeCell="B29" sqref="B29"/>
    </sheetView>
  </sheetViews>
  <sheetFormatPr defaultRowHeight="15.75" x14ac:dyDescent="0.25"/>
  <cols>
    <col min="1" max="1" width="9" style="5"/>
    <col min="2" max="2" width="57.625" style="17" customWidth="1"/>
    <col min="3" max="3" width="18.375" style="5" bestFit="1" customWidth="1"/>
    <col min="4" max="16384" width="9" style="5"/>
  </cols>
  <sheetData>
    <row r="1" spans="1:4" x14ac:dyDescent="0.25">
      <c r="A1" s="14" t="s">
        <v>219</v>
      </c>
      <c r="B1" s="15" t="s">
        <v>220</v>
      </c>
      <c r="C1" s="14" t="s">
        <v>221</v>
      </c>
      <c r="D1" s="14" t="s">
        <v>222</v>
      </c>
    </row>
    <row r="2" spans="1:4" ht="47.25" x14ac:dyDescent="0.25">
      <c r="A2" s="13" t="s">
        <v>197</v>
      </c>
      <c r="B2" s="16" t="s">
        <v>223</v>
      </c>
      <c r="C2" s="16" t="s">
        <v>224</v>
      </c>
      <c r="D2" s="13" t="s">
        <v>167</v>
      </c>
    </row>
    <row r="3" spans="1:4" x14ac:dyDescent="0.25">
      <c r="A3" s="13" t="s">
        <v>225</v>
      </c>
      <c r="B3" s="16" t="s">
        <v>226</v>
      </c>
      <c r="C3" s="13" t="s">
        <v>227</v>
      </c>
      <c r="D3" s="13" t="s">
        <v>167</v>
      </c>
    </row>
    <row r="4" spans="1:4" x14ac:dyDescent="0.25">
      <c r="A4" s="13" t="s">
        <v>199</v>
      </c>
      <c r="B4" s="16" t="s">
        <v>200</v>
      </c>
      <c r="C4" s="13"/>
      <c r="D4" s="13"/>
    </row>
    <row r="5" spans="1:4" x14ac:dyDescent="0.25">
      <c r="A5" s="13" t="s">
        <v>201</v>
      </c>
      <c r="B5" s="16" t="s">
        <v>228</v>
      </c>
      <c r="C5" s="13"/>
      <c r="D5" s="13"/>
    </row>
    <row r="6" spans="1:4" x14ac:dyDescent="0.25">
      <c r="A6" s="13" t="s">
        <v>203</v>
      </c>
      <c r="B6" s="13" t="s">
        <v>204</v>
      </c>
      <c r="C6" s="13"/>
      <c r="D6" s="1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"/>
  <sheetViews>
    <sheetView zoomScale="85" zoomScaleNormal="85" workbookViewId="0">
      <selection activeCell="G18" sqref="G18"/>
    </sheetView>
  </sheetViews>
  <sheetFormatPr defaultRowHeight="15.75" x14ac:dyDescent="0.25"/>
  <cols>
    <col min="1" max="2" width="9" style="5"/>
    <col min="3" max="3" width="27.5" style="5" customWidth="1"/>
    <col min="4" max="16384" width="9" style="5"/>
  </cols>
  <sheetData>
    <row r="1" spans="1:3" x14ac:dyDescent="0.25">
      <c r="A1" s="5" t="s">
        <v>229</v>
      </c>
      <c r="B1" s="5" t="s">
        <v>230</v>
      </c>
      <c r="C1" s="5" t="s">
        <v>231</v>
      </c>
    </row>
    <row r="2" spans="1:3" x14ac:dyDescent="0.25">
      <c r="A2" s="5" t="s">
        <v>232</v>
      </c>
      <c r="B2" s="5" t="s">
        <v>233</v>
      </c>
      <c r="C2" s="5" t="s">
        <v>234</v>
      </c>
    </row>
    <row r="3" spans="1:3" x14ac:dyDescent="0.25">
      <c r="A3" s="5" t="s">
        <v>235</v>
      </c>
      <c r="B3" s="5" t="s">
        <v>236</v>
      </c>
      <c r="C3" s="5" t="s">
        <v>237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19"/>
  <sheetViews>
    <sheetView tabSelected="1" zoomScale="85" zoomScaleNormal="85" workbookViewId="0">
      <selection activeCell="B6" sqref="B6"/>
    </sheetView>
  </sheetViews>
  <sheetFormatPr defaultRowHeight="15.75" x14ac:dyDescent="0.25"/>
  <cols>
    <col min="1" max="6" width="9" style="5"/>
    <col min="7" max="7" width="27.875" style="5" customWidth="1"/>
    <col min="8" max="16384" width="9" style="5"/>
  </cols>
  <sheetData>
    <row r="1" spans="1:22" x14ac:dyDescent="0.25">
      <c r="A1" s="5" t="s">
        <v>238</v>
      </c>
    </row>
    <row r="3" spans="1:22" x14ac:dyDescent="0.25">
      <c r="A3" s="11" t="s">
        <v>28</v>
      </c>
      <c r="B3" s="11" t="s">
        <v>70</v>
      </c>
      <c r="C3" s="11" t="s">
        <v>69</v>
      </c>
      <c r="D3" s="11" t="s">
        <v>29</v>
      </c>
      <c r="E3" s="11" t="s">
        <v>30</v>
      </c>
      <c r="F3" s="12" t="s">
        <v>250</v>
      </c>
      <c r="G3" s="12" t="s">
        <v>249</v>
      </c>
      <c r="I3" s="6" t="s">
        <v>93</v>
      </c>
      <c r="J3" s="7" t="s">
        <v>94</v>
      </c>
      <c r="K3" s="7"/>
      <c r="L3" s="7"/>
      <c r="Q3" s="5" t="s">
        <v>95</v>
      </c>
      <c r="R3" s="5" t="s">
        <v>96</v>
      </c>
      <c r="S3" s="5" t="s">
        <v>97</v>
      </c>
      <c r="T3" s="5" t="s">
        <v>98</v>
      </c>
      <c r="U3" s="5" t="s">
        <v>99</v>
      </c>
    </row>
    <row r="4" spans="1:22" x14ac:dyDescent="0.25">
      <c r="A4" s="20" t="s">
        <v>71</v>
      </c>
      <c r="B4" s="21" t="s">
        <v>74</v>
      </c>
      <c r="C4" s="21" t="s">
        <v>72</v>
      </c>
      <c r="D4" s="21" t="s">
        <v>73</v>
      </c>
      <c r="E4" s="21" t="s">
        <v>75</v>
      </c>
      <c r="F4" s="22" t="s">
        <v>76</v>
      </c>
      <c r="G4" s="23" t="s">
        <v>77</v>
      </c>
      <c r="I4" s="8" t="s">
        <v>100</v>
      </c>
      <c r="J4" s="9" t="s">
        <v>101</v>
      </c>
      <c r="K4" s="10"/>
      <c r="L4" s="10"/>
      <c r="M4" s="5" t="s">
        <v>102</v>
      </c>
      <c r="Q4" s="5">
        <v>100</v>
      </c>
      <c r="R4" s="5">
        <v>5</v>
      </c>
      <c r="S4" s="5">
        <v>7</v>
      </c>
      <c r="T4" s="5">
        <f>Q4/R4</f>
        <v>20</v>
      </c>
      <c r="U4" s="5">
        <f>Q4/S4</f>
        <v>14.285714285714286</v>
      </c>
    </row>
    <row r="5" spans="1:22" x14ac:dyDescent="0.25">
      <c r="A5" s="20" t="s">
        <v>78</v>
      </c>
      <c r="B5" s="20" t="s">
        <v>80</v>
      </c>
      <c r="C5" s="21" t="s">
        <v>79</v>
      </c>
      <c r="D5" s="21">
        <v>80</v>
      </c>
      <c r="E5" s="21" t="s">
        <v>75</v>
      </c>
      <c r="F5" s="22" t="s">
        <v>76</v>
      </c>
      <c r="G5" s="21" t="s">
        <v>81</v>
      </c>
      <c r="I5" s="8" t="s">
        <v>103</v>
      </c>
      <c r="J5" s="9" t="s">
        <v>104</v>
      </c>
      <c r="K5" s="10"/>
      <c r="L5" s="10"/>
      <c r="M5" s="5" t="s">
        <v>105</v>
      </c>
    </row>
    <row r="6" spans="1:22" x14ac:dyDescent="0.25">
      <c r="A6" s="20" t="s">
        <v>82</v>
      </c>
      <c r="B6" s="21" t="s">
        <v>74</v>
      </c>
      <c r="C6" s="21" t="s">
        <v>39</v>
      </c>
      <c r="D6" s="21" t="s">
        <v>84</v>
      </c>
      <c r="E6" s="21" t="s">
        <v>85</v>
      </c>
      <c r="F6" s="22" t="s">
        <v>76</v>
      </c>
      <c r="G6" s="23" t="s">
        <v>86</v>
      </c>
      <c r="I6" s="8" t="s">
        <v>106</v>
      </c>
      <c r="J6" s="9" t="s">
        <v>107</v>
      </c>
      <c r="K6" s="10"/>
      <c r="L6" s="10"/>
    </row>
    <row r="7" spans="1:22" x14ac:dyDescent="0.25">
      <c r="A7" s="8" t="s">
        <v>251</v>
      </c>
      <c r="B7" s="21" t="s">
        <v>74</v>
      </c>
      <c r="C7" s="21" t="s">
        <v>39</v>
      </c>
      <c r="D7" s="21" t="s">
        <v>252</v>
      </c>
      <c r="E7" s="21" t="s">
        <v>253</v>
      </c>
      <c r="F7" s="22" t="s">
        <v>254</v>
      </c>
      <c r="G7" s="23"/>
      <c r="I7" s="8" t="s">
        <v>251</v>
      </c>
      <c r="J7" s="9" t="s">
        <v>108</v>
      </c>
      <c r="K7" s="10"/>
      <c r="L7" s="10"/>
      <c r="P7" s="5" t="s">
        <v>109</v>
      </c>
      <c r="Q7" s="5" t="s">
        <v>110</v>
      </c>
      <c r="R7" s="5" t="s">
        <v>111</v>
      </c>
      <c r="S7" s="5" t="s">
        <v>40</v>
      </c>
      <c r="T7" s="5" t="s">
        <v>41</v>
      </c>
      <c r="U7" s="5" t="s">
        <v>42</v>
      </c>
      <c r="V7" s="5" t="s">
        <v>43</v>
      </c>
    </row>
    <row r="8" spans="1:22" x14ac:dyDescent="0.25">
      <c r="A8" s="20" t="s">
        <v>54</v>
      </c>
      <c r="B8" s="20" t="s">
        <v>74</v>
      </c>
      <c r="C8" s="20" t="s">
        <v>87</v>
      </c>
      <c r="D8" s="20">
        <v>70</v>
      </c>
      <c r="E8" s="20">
        <v>-12</v>
      </c>
      <c r="F8" s="20">
        <v>3</v>
      </c>
      <c r="G8" s="20" t="s">
        <v>88</v>
      </c>
      <c r="I8" s="8" t="s">
        <v>54</v>
      </c>
      <c r="J8" s="9" t="s">
        <v>55</v>
      </c>
      <c r="K8" s="10"/>
      <c r="L8" s="10"/>
      <c r="M8" s="5" t="s">
        <v>56</v>
      </c>
      <c r="O8" s="5" t="s">
        <v>57</v>
      </c>
      <c r="P8" s="5">
        <v>80</v>
      </c>
      <c r="Q8" s="5">
        <v>10</v>
      </c>
      <c r="R8" s="5">
        <f>P8</f>
        <v>80</v>
      </c>
      <c r="S8" s="5">
        <f>$P8-$Q8*1</f>
        <v>70</v>
      </c>
      <c r="T8" s="5">
        <f>$P8-$Q8*2</f>
        <v>60</v>
      </c>
      <c r="U8" s="5">
        <f>$P8-$Q8*3</f>
        <v>50</v>
      </c>
      <c r="V8" s="5">
        <f>$P8-$Q8*4</f>
        <v>40</v>
      </c>
    </row>
    <row r="9" spans="1:22" x14ac:dyDescent="0.25">
      <c r="A9" s="24" t="s">
        <v>58</v>
      </c>
      <c r="B9" s="20" t="s">
        <v>80</v>
      </c>
      <c r="C9" s="20" t="s">
        <v>83</v>
      </c>
      <c r="D9" s="20"/>
      <c r="E9" s="20"/>
      <c r="F9" s="20"/>
      <c r="G9" s="20"/>
      <c r="I9" s="8" t="s">
        <v>58</v>
      </c>
      <c r="J9" s="9" t="s">
        <v>59</v>
      </c>
      <c r="K9" s="10"/>
      <c r="L9" s="10"/>
      <c r="M9" s="5" t="s">
        <v>60</v>
      </c>
      <c r="O9" s="5" t="s">
        <v>61</v>
      </c>
      <c r="P9" s="5">
        <v>90</v>
      </c>
      <c r="Q9" s="5">
        <v>8</v>
      </c>
      <c r="R9" s="5">
        <f>P9</f>
        <v>90</v>
      </c>
      <c r="S9" s="5">
        <f>$P9-$Q9*1</f>
        <v>82</v>
      </c>
      <c r="T9" s="5">
        <f>$P9-$Q9*2</f>
        <v>74</v>
      </c>
      <c r="U9" s="5">
        <f>$P9-$Q9*3</f>
        <v>66</v>
      </c>
      <c r="V9" s="5">
        <f>$P9-$Q9*4</f>
        <v>58</v>
      </c>
    </row>
    <row r="10" spans="1:22" x14ac:dyDescent="0.25">
      <c r="A10" s="20" t="s">
        <v>62</v>
      </c>
      <c r="B10" s="20" t="s">
        <v>89</v>
      </c>
      <c r="C10" s="20" t="s">
        <v>72</v>
      </c>
      <c r="D10" s="20">
        <v>70</v>
      </c>
      <c r="E10" s="20">
        <v>-12</v>
      </c>
      <c r="F10" s="22" t="s">
        <v>90</v>
      </c>
      <c r="G10" s="20" t="s">
        <v>91</v>
      </c>
      <c r="I10" s="8" t="s">
        <v>62</v>
      </c>
      <c r="J10" s="9" t="s">
        <v>63</v>
      </c>
      <c r="K10" s="10"/>
      <c r="L10" s="10"/>
      <c r="M10" s="5" t="s">
        <v>64</v>
      </c>
      <c r="O10" s="5" t="s">
        <v>65</v>
      </c>
      <c r="P10" s="5">
        <v>70</v>
      </c>
      <c r="Q10" s="5">
        <v>12</v>
      </c>
      <c r="R10" s="5">
        <f>P10</f>
        <v>70</v>
      </c>
      <c r="S10" s="5">
        <f>$P10-$Q10*1</f>
        <v>58</v>
      </c>
      <c r="T10" s="5">
        <f>$P10-$Q10*2</f>
        <v>46</v>
      </c>
      <c r="U10" s="5">
        <f>$P10-$Q10*3</f>
        <v>34</v>
      </c>
      <c r="V10" s="5">
        <f>$P10-$Q10*4</f>
        <v>22</v>
      </c>
    </row>
    <row r="11" spans="1:22" x14ac:dyDescent="0.25">
      <c r="A11" s="20" t="s">
        <v>66</v>
      </c>
      <c r="B11" s="20" t="s">
        <v>89</v>
      </c>
      <c r="C11" s="20" t="s">
        <v>79</v>
      </c>
      <c r="D11" s="20">
        <v>80</v>
      </c>
      <c r="E11" s="20">
        <v>-10</v>
      </c>
      <c r="F11" s="20">
        <v>3</v>
      </c>
      <c r="G11" s="20" t="s">
        <v>92</v>
      </c>
      <c r="I11" s="8" t="s">
        <v>66</v>
      </c>
      <c r="J11" s="9" t="s">
        <v>67</v>
      </c>
      <c r="K11" s="10"/>
      <c r="L11" s="10"/>
      <c r="M11" s="5" t="s">
        <v>68</v>
      </c>
    </row>
    <row r="12" spans="1:22" x14ac:dyDescent="0.25">
      <c r="A12" s="25"/>
      <c r="B12" s="25"/>
      <c r="C12" s="25"/>
      <c r="D12" s="25"/>
      <c r="E12" s="25"/>
      <c r="F12" s="25"/>
      <c r="G12" s="25"/>
    </row>
    <row r="13" spans="1:22" x14ac:dyDescent="0.25">
      <c r="A13" s="18" t="s">
        <v>242</v>
      </c>
      <c r="B13" s="18" t="s">
        <v>247</v>
      </c>
      <c r="C13" s="18" t="s">
        <v>240</v>
      </c>
      <c r="D13" s="18" t="s">
        <v>241</v>
      </c>
    </row>
    <row r="14" spans="1:22" x14ac:dyDescent="0.25">
      <c r="A14" s="13" t="s">
        <v>255</v>
      </c>
      <c r="B14" s="13" t="s">
        <v>243</v>
      </c>
      <c r="C14" s="13"/>
      <c r="D14" s="13"/>
    </row>
    <row r="15" spans="1:22" x14ac:dyDescent="0.25">
      <c r="A15" s="13" t="s">
        <v>256</v>
      </c>
      <c r="B15" s="13" t="s">
        <v>244</v>
      </c>
      <c r="C15" s="13"/>
      <c r="D15" s="13"/>
    </row>
    <row r="16" spans="1:22" x14ac:dyDescent="0.25">
      <c r="A16" s="13" t="s">
        <v>257</v>
      </c>
      <c r="B16" s="13" t="s">
        <v>245</v>
      </c>
      <c r="C16" s="13"/>
      <c r="D16" s="13"/>
    </row>
    <row r="18" spans="1:3" x14ac:dyDescent="0.25">
      <c r="A18" s="19" t="s">
        <v>246</v>
      </c>
      <c r="B18" s="19" t="s">
        <v>239</v>
      </c>
      <c r="C18" s="19" t="s">
        <v>248</v>
      </c>
    </row>
    <row r="19" spans="1:3" x14ac:dyDescent="0.25">
      <c r="A19" s="13"/>
      <c r="B19" s="13"/>
      <c r="C19" s="13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N7" sqref="N7"/>
    </sheetView>
  </sheetViews>
  <sheetFormatPr defaultRowHeight="16.5" x14ac:dyDescent="0.25"/>
  <sheetData/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21"/>
  <sheetViews>
    <sheetView workbookViewId="0">
      <selection activeCell="G19" sqref="G19"/>
    </sheetView>
  </sheetViews>
  <sheetFormatPr defaultRowHeight="16.5" x14ac:dyDescent="0.25"/>
  <sheetData>
    <row r="1" spans="2:11" x14ac:dyDescent="0.25">
      <c r="B1" s="1" t="s">
        <v>20</v>
      </c>
      <c r="D1" s="1" t="s">
        <v>19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</row>
    <row r="2" spans="2:11" x14ac:dyDescent="0.25">
      <c r="B2" t="s">
        <v>10</v>
      </c>
      <c r="C2">
        <v>100</v>
      </c>
      <c r="D2" t="s">
        <v>6</v>
      </c>
      <c r="E2">
        <v>10</v>
      </c>
    </row>
    <row r="3" spans="2:11" x14ac:dyDescent="0.25">
      <c r="B3" t="s">
        <v>12</v>
      </c>
      <c r="C3">
        <v>0</v>
      </c>
      <c r="D3" t="s">
        <v>18</v>
      </c>
      <c r="E3">
        <v>90</v>
      </c>
    </row>
    <row r="4" spans="2:11" x14ac:dyDescent="0.25">
      <c r="B4" t="s">
        <v>4</v>
      </c>
      <c r="C4">
        <v>0</v>
      </c>
      <c r="D4" t="s">
        <v>7</v>
      </c>
      <c r="E4" t="s">
        <v>23</v>
      </c>
    </row>
    <row r="5" spans="2:11" x14ac:dyDescent="0.25">
      <c r="B5" t="s">
        <v>5</v>
      </c>
      <c r="D5" t="s">
        <v>8</v>
      </c>
      <c r="E5">
        <v>5</v>
      </c>
      <c r="F5" t="s">
        <v>22</v>
      </c>
    </row>
    <row r="6" spans="2:11" x14ac:dyDescent="0.25">
      <c r="B6" t="s">
        <v>2</v>
      </c>
    </row>
    <row r="7" spans="2:11" x14ac:dyDescent="0.25">
      <c r="B7" t="s">
        <v>3</v>
      </c>
      <c r="G7">
        <v>54</v>
      </c>
    </row>
    <row r="8" spans="2:11" x14ac:dyDescent="0.25">
      <c r="B8" t="s">
        <v>9</v>
      </c>
    </row>
    <row r="9" spans="2:11" x14ac:dyDescent="0.25">
      <c r="B9" t="s">
        <v>11</v>
      </c>
    </row>
    <row r="13" spans="2:11" x14ac:dyDescent="0.25">
      <c r="B13" s="1" t="s">
        <v>21</v>
      </c>
      <c r="D13" s="1" t="s">
        <v>19</v>
      </c>
    </row>
    <row r="14" spans="2:11" x14ac:dyDescent="0.25">
      <c r="B14" t="s">
        <v>10</v>
      </c>
      <c r="D14" t="s">
        <v>6</v>
      </c>
    </row>
    <row r="15" spans="2:11" x14ac:dyDescent="0.25">
      <c r="B15" t="s">
        <v>12</v>
      </c>
      <c r="D15" t="s">
        <v>18</v>
      </c>
    </row>
    <row r="16" spans="2:11" x14ac:dyDescent="0.25">
      <c r="B16" t="s">
        <v>4</v>
      </c>
      <c r="D16" t="s">
        <v>7</v>
      </c>
    </row>
    <row r="17" spans="2:4" x14ac:dyDescent="0.25">
      <c r="B17" t="s">
        <v>5</v>
      </c>
      <c r="D17" t="s">
        <v>8</v>
      </c>
    </row>
    <row r="18" spans="2:4" x14ac:dyDescent="0.25">
      <c r="B18" t="s">
        <v>2</v>
      </c>
    </row>
    <row r="19" spans="2:4" x14ac:dyDescent="0.25">
      <c r="B19" t="s">
        <v>3</v>
      </c>
    </row>
    <row r="20" spans="2:4" x14ac:dyDescent="0.25">
      <c r="B20" t="s">
        <v>9</v>
      </c>
    </row>
    <row r="21" spans="2:4" x14ac:dyDescent="0.25">
      <c r="B21" t="s">
        <v>11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6</xdr:col>
                    <xdr:colOff>57150</xdr:colOff>
                    <xdr:row>1</xdr:row>
                    <xdr:rowOff>104775</xdr:rowOff>
                  </from>
                  <to>
                    <xdr:col>6</xdr:col>
                    <xdr:colOff>590550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workbookViewId="0">
      <selection activeCell="G17" sqref="G17"/>
    </sheetView>
  </sheetViews>
  <sheetFormatPr defaultRowHeight="16.5" x14ac:dyDescent="0.25"/>
  <cols>
    <col min="7" max="11" width="10.5" bestFit="1" customWidth="1"/>
  </cols>
  <sheetData>
    <row r="1" spans="1:11" x14ac:dyDescent="0.25">
      <c r="A1" s="3" t="s">
        <v>32</v>
      </c>
      <c r="B1" s="3" t="s">
        <v>0</v>
      </c>
      <c r="C1" s="3" t="s">
        <v>2</v>
      </c>
      <c r="D1" s="3" t="s">
        <v>1</v>
      </c>
      <c r="E1" s="3" t="s">
        <v>27</v>
      </c>
      <c r="F1" s="3" t="s">
        <v>33</v>
      </c>
      <c r="G1" s="3" t="s">
        <v>34</v>
      </c>
      <c r="H1" s="3" t="s">
        <v>35</v>
      </c>
      <c r="I1" s="3" t="s">
        <v>36</v>
      </c>
      <c r="J1" s="3" t="s">
        <v>37</v>
      </c>
      <c r="K1" s="3" t="s">
        <v>38</v>
      </c>
    </row>
    <row r="2" spans="1:11" x14ac:dyDescent="0.25">
      <c r="A2" s="2"/>
      <c r="B2" s="2">
        <v>100</v>
      </c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>
      <selection activeCell="H25" sqref="H25"/>
    </sheetView>
  </sheetViews>
  <sheetFormatPr defaultRowHeight="16.5" x14ac:dyDescent="0.25"/>
  <sheetData>
    <row r="1" spans="1:1" x14ac:dyDescent="0.25">
      <c r="A1" s="1" t="s">
        <v>25</v>
      </c>
    </row>
    <row r="2" spans="1:1" x14ac:dyDescent="0.25">
      <c r="A2" t="s">
        <v>24</v>
      </c>
    </row>
    <row r="3" spans="1:1" x14ac:dyDescent="0.25">
      <c r="A3" t="s">
        <v>26</v>
      </c>
    </row>
    <row r="4" spans="1:1" x14ac:dyDescent="0.25">
      <c r="A4" t="s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戰鬥系統</vt:lpstr>
      <vt:lpstr>探險</vt:lpstr>
      <vt:lpstr>技能</vt:lpstr>
      <vt:lpstr>角色</vt:lpstr>
      <vt:lpstr>遊戲流程</vt:lpstr>
      <vt:lpstr>建築選項</vt:lpstr>
      <vt:lpstr>營收架構</vt:lpstr>
      <vt:lpstr>裝備</vt:lpstr>
      <vt:lpstr>UI</vt:lpstr>
      <vt:lpstr>原型</vt:lpstr>
      <vt:lpstr>敵人</vt:lpstr>
      <vt:lpstr>評估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wego_chen</dc:creator>
  <cp:lastModifiedBy>Scozirge</cp:lastModifiedBy>
  <dcterms:created xsi:type="dcterms:W3CDTF">2015-12-14T01:08:13Z</dcterms:created>
  <dcterms:modified xsi:type="dcterms:W3CDTF">2016-08-30T04:44:15Z</dcterms:modified>
</cp:coreProperties>
</file>